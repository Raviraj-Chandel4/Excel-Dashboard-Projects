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F:\MS EXCEL\Excel Project\10.Movie Data\"/>
    </mc:Choice>
  </mc:AlternateContent>
  <xr:revisionPtr revIDLastSave="0" documentId="13_ncr:1_{0BE28AFE-4F17-49AC-ADC0-18677D9324F9}" xr6:coauthVersionLast="47" xr6:coauthVersionMax="47" xr10:uidLastSave="{00000000-0000-0000-0000-000000000000}"/>
  <bookViews>
    <workbookView xWindow="-108" yWindow="-108" windowWidth="23256" windowHeight="12456" firstSheet="2" activeTab="2" xr2:uid="{10D15F93-8DD3-4B7B-860C-644BF95A1199}"/>
  </bookViews>
  <sheets>
    <sheet name="Movie-Data" sheetId="2" state="hidden" r:id="rId1"/>
    <sheet name="PIVOT TABLE" sheetId="3" state="hidden" r:id="rId2"/>
    <sheet name="DASHBOARD" sheetId="1" r:id="rId3"/>
  </sheets>
  <definedNames>
    <definedName name="_xlchart.v2.0" hidden="1">'PIVOT TABLE'!$G$15:$G$24</definedName>
    <definedName name="_xlchart.v2.1" hidden="1">'PIVOT TABLE'!$H$15:$H$24</definedName>
    <definedName name="ExternalData_1" localSheetId="0" hidden="1">'Movie-Data'!$A$1:$P$509</definedName>
    <definedName name="Slicer_Director__1">#N/A</definedName>
    <definedName name="Slicer_Genre">#N/A</definedName>
    <definedName name="Slicer_Movie_Title">#N/A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15" i="3" l="1" a="1"/>
  <c r="G15" i="3" s="1"/>
  <c r="F57" i="3" a="1"/>
  <c r="F57" i="3" s="1"/>
  <c r="E57" i="3" a="1"/>
  <c r="E57" i="3" s="1"/>
  <c r="B13" i="3"/>
  <c r="B10" i="3"/>
  <c r="B7" i="3"/>
  <c r="B4"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2866B91-87E6-44B1-9CE2-1EF13081ED0F}" keepAlive="1" name="Query - Movie-Data" description="Connection to the 'Movie-Data' query in the workbook." type="5" refreshedVersion="8" background="1" saveData="1">
    <dbPr connection="Provider=Microsoft.Mashup.OleDb.1;Data Source=$Workbook$;Location=Movie-Data;Extended Properties=&quot;&quot;" command="SELECT * FROM [Movie-Data]"/>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<sst xmlns="http://schemas.openxmlformats.org/spreadsheetml/2006/main" count="5173" uniqueCount="2339">
  <si>
    <t>Movie Title</t>
  </si>
  <si>
    <t>Release Date</t>
  </si>
  <si>
    <t>Year</t>
  </si>
  <si>
    <t>Genre</t>
  </si>
  <si>
    <t>Director (1)</t>
  </si>
  <si>
    <t>Director (2)</t>
  </si>
  <si>
    <t>Cast (1)</t>
  </si>
  <si>
    <t>Cast (2)</t>
  </si>
  <si>
    <t>Cast (3)</t>
  </si>
  <si>
    <t>Cast (4)</t>
  </si>
  <si>
    <t>Cast (5)</t>
  </si>
  <si>
    <t xml:space="preserve">Budget </t>
  </si>
  <si>
    <t>Revenue</t>
  </si>
  <si>
    <t>Profit</t>
  </si>
  <si>
    <t>ROI%</t>
  </si>
  <si>
    <t>Movie_Status</t>
  </si>
  <si>
    <t>10 Cloverfield Lane</t>
  </si>
  <si>
    <t>Thriller</t>
  </si>
  <si>
    <t>Dan Trachtenberg</t>
  </si>
  <si>
    <t/>
  </si>
  <si>
    <t>Mary Elizabeth Winstead</t>
  </si>
  <si>
    <t>John Goodman</t>
  </si>
  <si>
    <t>John Gallagher</t>
  </si>
  <si>
    <t>Blockbuster</t>
  </si>
  <si>
    <t>13 Hours: The Secret Soldiers of Benghazi</t>
  </si>
  <si>
    <t>Action</t>
  </si>
  <si>
    <t>Michael Bay</t>
  </si>
  <si>
    <t>James Badge Dale</t>
  </si>
  <si>
    <t>John Krasinski</t>
  </si>
  <si>
    <t>Toby Stephens</t>
  </si>
  <si>
    <t>Pablo Schreiber</t>
  </si>
  <si>
    <t>Max Martini</t>
  </si>
  <si>
    <t>Semi-Hit</t>
  </si>
  <si>
    <t>2 Guns</t>
  </si>
  <si>
    <t>Baltasar Kormákur</t>
  </si>
  <si>
    <t>Mark Wahlberg</t>
  </si>
  <si>
    <t>Denzel Washington</t>
  </si>
  <si>
    <t>Paula Patton</t>
  </si>
  <si>
    <t>Bill Paxton</t>
  </si>
  <si>
    <t>Edward James Olmos</t>
  </si>
  <si>
    <t>Hit</t>
  </si>
  <si>
    <t>21 Jump Street</t>
  </si>
  <si>
    <t>Comedy</t>
  </si>
  <si>
    <t>Phil Lord</t>
  </si>
  <si>
    <t>Chris Miller</t>
  </si>
  <si>
    <t>Jonah Hill</t>
  </si>
  <si>
    <t>Channing Tatum</t>
  </si>
  <si>
    <t>Ice Cube</t>
  </si>
  <si>
    <t>Brie Larson</t>
  </si>
  <si>
    <t>Rob Riggle</t>
  </si>
  <si>
    <t>22 Jump Street</t>
  </si>
  <si>
    <t>300: Rise of an Empire</t>
  </si>
  <si>
    <t>Noam Murro</t>
  </si>
  <si>
    <t>Rodrigo Santoro</t>
  </si>
  <si>
    <t>Eva Green</t>
  </si>
  <si>
    <t>Sullivan Stapleton</t>
  </si>
  <si>
    <t>Hans Matheson</t>
  </si>
  <si>
    <t>Lena Headey</t>
  </si>
  <si>
    <t>42</t>
  </si>
  <si>
    <t>Biography</t>
  </si>
  <si>
    <t>Brian Helgeland</t>
  </si>
  <si>
    <t>Harrison Ford</t>
  </si>
  <si>
    <t>Chadwick Boseman</t>
  </si>
  <si>
    <t>Christopher Meloni</t>
  </si>
  <si>
    <t>Ryan Merriman</t>
  </si>
  <si>
    <t>Andre Holland</t>
  </si>
  <si>
    <t>71</t>
  </si>
  <si>
    <t>Yann Demange</t>
  </si>
  <si>
    <t>Jack O'Connell</t>
  </si>
  <si>
    <t>Richard Dormer</t>
  </si>
  <si>
    <t>Sean Harris</t>
  </si>
  <si>
    <t>Sam Reid</t>
  </si>
  <si>
    <t>Flop</t>
  </si>
  <si>
    <t>90 Minutes in Heaven</t>
  </si>
  <si>
    <t>Drama</t>
  </si>
  <si>
    <t>Michael Polish</t>
  </si>
  <si>
    <t>Hayden Christensen</t>
  </si>
  <si>
    <t>Kate Bosworth</t>
  </si>
  <si>
    <t>Dwight Yoakam</t>
  </si>
  <si>
    <t>Michael W. Smith</t>
  </si>
  <si>
    <t>A Good Day to Die Hard</t>
  </si>
  <si>
    <t>John Moore</t>
  </si>
  <si>
    <t>Bruce Willis</t>
  </si>
  <si>
    <t>Jai Courtney</t>
  </si>
  <si>
    <t>Sebastian Koch</t>
  </si>
  <si>
    <t>Yuliya Snigir</t>
  </si>
  <si>
    <t>Radivoje Bukvić</t>
  </si>
  <si>
    <t>A Haunted House</t>
  </si>
  <si>
    <t>Michael Tiddes</t>
  </si>
  <si>
    <t>Marlon Wayans</t>
  </si>
  <si>
    <t>Nick Swardson</t>
  </si>
  <si>
    <t>David Koechner</t>
  </si>
  <si>
    <t>Essence Atkins</t>
  </si>
  <si>
    <t>Cedric the Entertainer</t>
  </si>
  <si>
    <t>A Haunted House 2</t>
  </si>
  <si>
    <t>Jaime Pressly</t>
  </si>
  <si>
    <t>Gabriel Iglesias</t>
  </si>
  <si>
    <t>A Long Way Down</t>
  </si>
  <si>
    <t>Pascal Chaumeil</t>
  </si>
  <si>
    <t>Toni Collette</t>
  </si>
  <si>
    <t>Pierce Brosnan</t>
  </si>
  <si>
    <t>Aaron Paul</t>
  </si>
  <si>
    <t>Imogen Poots</t>
  </si>
  <si>
    <t>A Most Violent Year</t>
  </si>
  <si>
    <t>J. C. Chandor</t>
  </si>
  <si>
    <t>Oscar Isaac</t>
  </si>
  <si>
    <t>Jessica Chastain</t>
  </si>
  <si>
    <t>Alessandro Nivola</t>
  </si>
  <si>
    <t>David Oyelowo</t>
  </si>
  <si>
    <t>Albert Brooks</t>
  </si>
  <si>
    <t>A Most Wanted Man</t>
  </si>
  <si>
    <t>Anton Corbijn</t>
  </si>
  <si>
    <t>Philip Seymour Hoffman</t>
  </si>
  <si>
    <t>Rachel McAdams</t>
  </si>
  <si>
    <t>Robin Wright</t>
  </si>
  <si>
    <t>Willem Dafoe</t>
  </si>
  <si>
    <t>Grigoriy Dobrygin</t>
  </si>
  <si>
    <t>A Thousand Words</t>
  </si>
  <si>
    <t>Brian Robbins</t>
  </si>
  <si>
    <t>Eddie Murphy</t>
  </si>
  <si>
    <t>Kerry Washington</t>
  </si>
  <si>
    <t>Cliff Curtis</t>
  </si>
  <si>
    <t>Clark Duke</t>
  </si>
  <si>
    <t>Allison Janney</t>
  </si>
  <si>
    <t>A Walk Among the Tombstones</t>
  </si>
  <si>
    <t>Crime</t>
  </si>
  <si>
    <t>Scott Frank</t>
  </si>
  <si>
    <t>Liam Neeson</t>
  </si>
  <si>
    <t>Dan Stevens</t>
  </si>
  <si>
    <t>Ruth Wilson</t>
  </si>
  <si>
    <t>Boyd Holbrook</t>
  </si>
  <si>
    <t>A Walk in the Woods</t>
  </si>
  <si>
    <t>Adventure</t>
  </si>
  <si>
    <t>Ken Kwapis</t>
  </si>
  <si>
    <t>Robert Redford</t>
  </si>
  <si>
    <t>Nick Nolte</t>
  </si>
  <si>
    <t>Emma Thompson</t>
  </si>
  <si>
    <t>Abraham Lincoln: Vampire Hunter</t>
  </si>
  <si>
    <t>Horror</t>
  </si>
  <si>
    <t>Timur Bekmambetov</t>
  </si>
  <si>
    <t>Benjamin Walker</t>
  </si>
  <si>
    <t>Dominic Cooper</t>
  </si>
  <si>
    <t>Anthony Mackie</t>
  </si>
  <si>
    <t>Rufus Sewell</t>
  </si>
  <si>
    <t>After Earth</t>
  </si>
  <si>
    <t>Sci-Fi</t>
  </si>
  <si>
    <t>M. Night Shyamalan</t>
  </si>
  <si>
    <t>Jaden Smith</t>
  </si>
  <si>
    <t>Will Smith</t>
  </si>
  <si>
    <t>Isabelle Fuhrman</t>
  </si>
  <si>
    <t>Zoe Kravitz</t>
  </si>
  <si>
    <t>Ain't Them Bodies Saints</t>
  </si>
  <si>
    <t>David Lowery</t>
  </si>
  <si>
    <t>Casey Affleck</t>
  </si>
  <si>
    <t>Rooney Mara</t>
  </si>
  <si>
    <t>Ben Foster</t>
  </si>
  <si>
    <t>Rami Malek</t>
  </si>
  <si>
    <t>Keith Carradine</t>
  </si>
  <si>
    <t>Alex Cross</t>
  </si>
  <si>
    <t>Rob Cohen</t>
  </si>
  <si>
    <t>Tyler Perry</t>
  </si>
  <si>
    <t>Matthew Fox</t>
  </si>
  <si>
    <t>Rachel Nichols</t>
  </si>
  <si>
    <t>Edward Burns</t>
  </si>
  <si>
    <t>Jean Reno</t>
  </si>
  <si>
    <t>Aloha</t>
  </si>
  <si>
    <t>Romance</t>
  </si>
  <si>
    <t>Cameron Crowe</t>
  </si>
  <si>
    <t>Bradley Cooper</t>
  </si>
  <si>
    <t>Emma Stone</t>
  </si>
  <si>
    <t>Alec Baldwin</t>
  </si>
  <si>
    <t>Bill Murray</t>
  </si>
  <si>
    <t>Alvin and the Chipmunks: The Road Chip</t>
  </si>
  <si>
    <t>Walt Becker</t>
  </si>
  <si>
    <t>Jason Lee</t>
  </si>
  <si>
    <t>Tony Hale</t>
  </si>
  <si>
    <t>Kimberly Williams-Paisley</t>
  </si>
  <si>
    <t>Josh Green</t>
  </si>
  <si>
    <t>Bella Thorne</t>
  </si>
  <si>
    <t>American Reunion</t>
  </si>
  <si>
    <t>Jon Hurwitz</t>
  </si>
  <si>
    <t>Alyson Hannigan</t>
  </si>
  <si>
    <t>Seann William Scott</t>
  </si>
  <si>
    <t>Tara Reid</t>
  </si>
  <si>
    <t>Jason Biggs</t>
  </si>
  <si>
    <t>Eugene Levy</t>
  </si>
  <si>
    <t>American Sniper</t>
  </si>
  <si>
    <t>Clint Eastwood</t>
  </si>
  <si>
    <t>Sienna Miller</t>
  </si>
  <si>
    <t>Max Charles</t>
  </si>
  <si>
    <t>Luke Grimes</t>
  </si>
  <si>
    <t>American Ultra</t>
  </si>
  <si>
    <t>Nima Nourizadeh</t>
  </si>
  <si>
    <t>Jesse Eisenberg</t>
  </si>
  <si>
    <t>Kristen Stewart</t>
  </si>
  <si>
    <t>Connie Britton</t>
  </si>
  <si>
    <t>Topher Grace</t>
  </si>
  <si>
    <t>John Leguizamo</t>
  </si>
  <si>
    <t>Amy</t>
  </si>
  <si>
    <t>Asif Kapadia</t>
  </si>
  <si>
    <t>Amy Winehouse</t>
  </si>
  <si>
    <t>Mitchell Winehouse</t>
  </si>
  <si>
    <t>Janis Winehouse</t>
  </si>
  <si>
    <t>Raye Cosbert</t>
  </si>
  <si>
    <t>Nick Shymansky</t>
  </si>
  <si>
    <t>Annabelle</t>
  </si>
  <si>
    <t>John R. Leonetti</t>
  </si>
  <si>
    <t>Annabelle Wallis</t>
  </si>
  <si>
    <t>Alfre Woodard</t>
  </si>
  <si>
    <t>Eric Ladin</t>
  </si>
  <si>
    <t>Brian Howe</t>
  </si>
  <si>
    <t>Annie</t>
  </si>
  <si>
    <t>Will Gluck</t>
  </si>
  <si>
    <t>Quvenzhané Wallis</t>
  </si>
  <si>
    <t>Jamie Foxx</t>
  </si>
  <si>
    <t>Cameron Diaz</t>
  </si>
  <si>
    <t>Rose Byrne</t>
  </si>
  <si>
    <t>Bobby Cannavale</t>
  </si>
  <si>
    <t>Ant-Man</t>
  </si>
  <si>
    <t>Peyton Reed</t>
  </si>
  <si>
    <t>Paul Rudd</t>
  </si>
  <si>
    <t>Evangeline Lilly</t>
  </si>
  <si>
    <t>Corey Stoll</t>
  </si>
  <si>
    <t>Michael Peña</t>
  </si>
  <si>
    <t>Argo</t>
  </si>
  <si>
    <t>Ben Affleck</t>
  </si>
  <si>
    <t>Alan Arkin</t>
  </si>
  <si>
    <t>Bryan Cranston</t>
  </si>
  <si>
    <t>Victor Garber</t>
  </si>
  <si>
    <t>As Above, So Below</t>
  </si>
  <si>
    <t>John Erick Dowdle</t>
  </si>
  <si>
    <t>Drew Dowdle (screenplay)Perdita Weeks</t>
  </si>
  <si>
    <t>Ben Feldman</t>
  </si>
  <si>
    <t>Edwin Hodge</t>
  </si>
  <si>
    <t>François Civil</t>
  </si>
  <si>
    <t>Marion Lambert</t>
  </si>
  <si>
    <t>Bad Moms</t>
  </si>
  <si>
    <t>Jon Lucas</t>
  </si>
  <si>
    <t>Scott Moore</t>
  </si>
  <si>
    <t>Mila Kunis</t>
  </si>
  <si>
    <t>Christina Applegate</t>
  </si>
  <si>
    <t>Kristen Bell</t>
  </si>
  <si>
    <t>Jada Pinkett Smith</t>
  </si>
  <si>
    <t>Kathryn Hahn</t>
  </si>
  <si>
    <t>Barbershop: The Next Cut</t>
  </si>
  <si>
    <t>Malcolm D. Lee</t>
  </si>
  <si>
    <t>Nicki Minaj</t>
  </si>
  <si>
    <t>Regina Hall</t>
  </si>
  <si>
    <t>Eve</t>
  </si>
  <si>
    <t>Batman v Superman: Dawn of Justice</t>
  </si>
  <si>
    <t>Zack Snyder</t>
  </si>
  <si>
    <t>Henry Cavill</t>
  </si>
  <si>
    <t>Amy Adams</t>
  </si>
  <si>
    <t>Diane Lane</t>
  </si>
  <si>
    <t>Batman: The Killing Joke</t>
  </si>
  <si>
    <t>Sam Liu</t>
  </si>
  <si>
    <t>Bruce Timm</t>
  </si>
  <si>
    <t>Kevin Conroy</t>
  </si>
  <si>
    <t>Mark Hamill</t>
  </si>
  <si>
    <t>Tara Strong</t>
  </si>
  <si>
    <t>Ray Wise</t>
  </si>
  <si>
    <t>Battle of the Year</t>
  </si>
  <si>
    <t>Musical</t>
  </si>
  <si>
    <t>Benson Lee</t>
  </si>
  <si>
    <t>Josh Holloway</t>
  </si>
  <si>
    <t>Laz Alonso</t>
  </si>
  <si>
    <t>Josh Peck</t>
  </si>
  <si>
    <t>Caity Lotz</t>
  </si>
  <si>
    <t>Chris Brown</t>
  </si>
  <si>
    <t>Battleship</t>
  </si>
  <si>
    <t>Peter Berg</t>
  </si>
  <si>
    <t>Alexander Skarsgård</t>
  </si>
  <si>
    <t>Taylor Kitsch</t>
  </si>
  <si>
    <t>Brooklyn Decker</t>
  </si>
  <si>
    <t>Rihanna</t>
  </si>
  <si>
    <t>Beasts of the Southern Wild</t>
  </si>
  <si>
    <t>Benh Zeitlin</t>
  </si>
  <si>
    <t>Dwight Henry</t>
  </si>
  <si>
    <t>Beautiful Creatures</t>
  </si>
  <si>
    <t>Fantasy</t>
  </si>
  <si>
    <t>Richard LaGravenese</t>
  </si>
  <si>
    <t>Viola Davis</t>
  </si>
  <si>
    <t>Alice Englert</t>
  </si>
  <si>
    <t>Emmy Rossum</t>
  </si>
  <si>
    <t>Jeremy Irons</t>
  </si>
  <si>
    <t>Before I Go to Sleep</t>
  </si>
  <si>
    <t>Mystery</t>
  </si>
  <si>
    <t>Rowan Joffé</t>
  </si>
  <si>
    <t>Nicole Kidman</t>
  </si>
  <si>
    <t>Mark Strong</t>
  </si>
  <si>
    <t>Colin Firth</t>
  </si>
  <si>
    <t>Anne-Marie Duff</t>
  </si>
  <si>
    <t>Ben-Hur</t>
  </si>
  <si>
    <t>Jack Huston</t>
  </si>
  <si>
    <t>Morgan Freeman</t>
  </si>
  <si>
    <t>Toby Kebbell</t>
  </si>
  <si>
    <t>Nazanin Boniadi</t>
  </si>
  <si>
    <t>Beyond the Lights</t>
  </si>
  <si>
    <t>Gina Prince-Bythewood</t>
  </si>
  <si>
    <t>Gugu Mbatha-Raw</t>
  </si>
  <si>
    <t>Nate Parker</t>
  </si>
  <si>
    <t>Minnie Driver</t>
  </si>
  <si>
    <t>Danny Glover</t>
  </si>
  <si>
    <t>Big Eyes</t>
  </si>
  <si>
    <t>Tim Burton</t>
  </si>
  <si>
    <t>Christoph Waltz</t>
  </si>
  <si>
    <t>Krysten Ritter</t>
  </si>
  <si>
    <t>Danny Huston</t>
  </si>
  <si>
    <t>Terence Stamp</t>
  </si>
  <si>
    <t>Black Mass</t>
  </si>
  <si>
    <t>Scott Cooper</t>
  </si>
  <si>
    <t>Johnny Depp</t>
  </si>
  <si>
    <t>Joel Edgerton</t>
  </si>
  <si>
    <t>Benedict Cumberbatch</t>
  </si>
  <si>
    <t>Dakota Johnson</t>
  </si>
  <si>
    <t>Blackhat</t>
  </si>
  <si>
    <t>Michael Mann</t>
  </si>
  <si>
    <t>Chris Hemsworth</t>
  </si>
  <si>
    <t>John Ortiz</t>
  </si>
  <si>
    <t>Yorick van Wageningen</t>
  </si>
  <si>
    <t>Tang Wei</t>
  </si>
  <si>
    <t>Blended</t>
  </si>
  <si>
    <t>Frank Coraci</t>
  </si>
  <si>
    <t>Adam Sandler</t>
  </si>
  <si>
    <t>Drew Barrymore</t>
  </si>
  <si>
    <t>Emma Fuhrmann</t>
  </si>
  <si>
    <t>Terry Crews</t>
  </si>
  <si>
    <t>Blue Jasmine</t>
  </si>
  <si>
    <t>Woody Allen</t>
  </si>
  <si>
    <t>Cate Blanchett</t>
  </si>
  <si>
    <t>Louis C.K.</t>
  </si>
  <si>
    <t>Andrew Dice Clay</t>
  </si>
  <si>
    <t>Boyhood</t>
  </si>
  <si>
    <t>Richard Linklater</t>
  </si>
  <si>
    <t>Ethan Hawke</t>
  </si>
  <si>
    <t>Patricia Arquette</t>
  </si>
  <si>
    <t>Ellar Coltrane</t>
  </si>
  <si>
    <t>Brick Mansions</t>
  </si>
  <si>
    <t>Camille Delamarre</t>
  </si>
  <si>
    <t>Paul Walker</t>
  </si>
  <si>
    <t>David Belle</t>
  </si>
  <si>
    <t>RZA</t>
  </si>
  <si>
    <t>Bridge of Spies</t>
  </si>
  <si>
    <t>Steven Spielberg</t>
  </si>
  <si>
    <t>Tom Hanks</t>
  </si>
  <si>
    <t>Mark Rylance</t>
  </si>
  <si>
    <t>Amy Ryan</t>
  </si>
  <si>
    <t>Alan Alda</t>
  </si>
  <si>
    <t>Austin Stowell</t>
  </si>
  <si>
    <t>Brooklyn</t>
  </si>
  <si>
    <t>John Crowley</t>
  </si>
  <si>
    <t>Saoirse Ronan</t>
  </si>
  <si>
    <t>Emory Cohen</t>
  </si>
  <si>
    <t>Domhnall Gleeson</t>
  </si>
  <si>
    <t>Jim Broadbent</t>
  </si>
  <si>
    <t>Julie Walters</t>
  </si>
  <si>
    <t>Bullet to the Head</t>
  </si>
  <si>
    <t>Walter Hill</t>
  </si>
  <si>
    <t>Sylvester Stallone</t>
  </si>
  <si>
    <t>Sung Kang</t>
  </si>
  <si>
    <t>Sarah Shahi</t>
  </si>
  <si>
    <t>Adewale Akinnuoye-Agbaje</t>
  </si>
  <si>
    <t>Religious Slater</t>
  </si>
  <si>
    <t>Burnt</t>
  </si>
  <si>
    <t>John Wells</t>
  </si>
  <si>
    <t>Jamie Dornan</t>
  </si>
  <si>
    <t>Daniel Brühl</t>
  </si>
  <si>
    <t>By the Sea</t>
  </si>
  <si>
    <t>Angelina Jolie</t>
  </si>
  <si>
    <t>Brad Pitt</t>
  </si>
  <si>
    <t>Mélanie Laurent</t>
  </si>
  <si>
    <t>Niels Arestrup</t>
  </si>
  <si>
    <t>Melvil Poupaud</t>
  </si>
  <si>
    <t>Captain America: The Winter Soldier</t>
  </si>
  <si>
    <t>Anthony Russo</t>
  </si>
  <si>
    <t>Joe Russo</t>
  </si>
  <si>
    <t>Chris Evans</t>
  </si>
  <si>
    <t>Scarlett Johansson</t>
  </si>
  <si>
    <t>Sebastian Stan</t>
  </si>
  <si>
    <t>Cobie Smulders</t>
  </si>
  <si>
    <t>Captive</t>
  </si>
  <si>
    <t>Jerry Jameson</t>
  </si>
  <si>
    <t>Kate Mara</t>
  </si>
  <si>
    <t>Michael K. Williams</t>
  </si>
  <si>
    <t>Leonor Varela</t>
  </si>
  <si>
    <t>Jessica Oyelowo</t>
  </si>
  <si>
    <t>Carol</t>
  </si>
  <si>
    <t>Todd Haynes</t>
  </si>
  <si>
    <t>Sarah Paulson</t>
  </si>
  <si>
    <t>Kyle Chandler</t>
  </si>
  <si>
    <t>Jake Lacy</t>
  </si>
  <si>
    <t>Central Intelligence</t>
  </si>
  <si>
    <t>Rawson Marshall Thurber</t>
  </si>
  <si>
    <t>Dwayne Johnson</t>
  </si>
  <si>
    <t>Kevin Hart</t>
  </si>
  <si>
    <t>Cesar Chavez</t>
  </si>
  <si>
    <t>Diego Luna</t>
  </si>
  <si>
    <t>America Ferrera</t>
  </si>
  <si>
    <t>Rosario Dawson</t>
  </si>
  <si>
    <t>John Malkovich</t>
  </si>
  <si>
    <t>Chappie</t>
  </si>
  <si>
    <t>Neill Blomkamp</t>
  </si>
  <si>
    <t>Sharlto Copley</t>
  </si>
  <si>
    <t>Ninja</t>
  </si>
  <si>
    <t>Yolandi Visser</t>
  </si>
  <si>
    <t>Dev Patel</t>
  </si>
  <si>
    <t>Hugh Jackman</t>
  </si>
  <si>
    <t>Chasing Mavericks</t>
  </si>
  <si>
    <t>Curtis Hanson</t>
  </si>
  <si>
    <t>Michael Apted</t>
  </si>
  <si>
    <t>Gerard Butler</t>
  </si>
  <si>
    <t>Jonny Weston</t>
  </si>
  <si>
    <t>Elisabeth Shue</t>
  </si>
  <si>
    <t>Abigail Spencer</t>
  </si>
  <si>
    <t>Chef</t>
  </si>
  <si>
    <t>Jon Favreau</t>
  </si>
  <si>
    <t>Sofía Vergara</t>
  </si>
  <si>
    <t>Robert Downey</t>
  </si>
  <si>
    <t>Chernobyl Diaries</t>
  </si>
  <si>
    <t>Bradley Parker</t>
  </si>
  <si>
    <t>Jonathan Sadowski</t>
  </si>
  <si>
    <t>Devin Kelley</t>
  </si>
  <si>
    <t>Jesse McCartney</t>
  </si>
  <si>
    <t>Olivia Taylor Dudley</t>
  </si>
  <si>
    <t>Nathan Phillips</t>
  </si>
  <si>
    <t>Child 44</t>
  </si>
  <si>
    <t>Daniel Espinosa</t>
  </si>
  <si>
    <t>Tom Hardy</t>
  </si>
  <si>
    <t>Gary Oldman</t>
  </si>
  <si>
    <t>Joel Kinnaman</t>
  </si>
  <si>
    <t>Noomi Rapace</t>
  </si>
  <si>
    <t>Jason Clarke</t>
  </si>
  <si>
    <t>Chronicle</t>
  </si>
  <si>
    <t>Josh Trank</t>
  </si>
  <si>
    <t>Dane DeHaan</t>
  </si>
  <si>
    <t>Michael B. Jordan</t>
  </si>
  <si>
    <t>Alex Russell</t>
  </si>
  <si>
    <t>Michael Kelly</t>
  </si>
  <si>
    <t>Cloud Atlas</t>
  </si>
  <si>
    <t>Tom Tykwer</t>
  </si>
  <si>
    <t>Andy Wachowski</t>
  </si>
  <si>
    <t>Jim Sturgess</t>
  </si>
  <si>
    <t>David Gyasi</t>
  </si>
  <si>
    <t>Ben Whishaw</t>
  </si>
  <si>
    <t>Cloudy with a Chance of Meatballs 2</t>
  </si>
  <si>
    <t>Family</t>
  </si>
  <si>
    <t>Cody Cameron</t>
  </si>
  <si>
    <t>Kris Pearn</t>
  </si>
  <si>
    <t>Anna Faris</t>
  </si>
  <si>
    <t>Bill Hader</t>
  </si>
  <si>
    <t>Andy Samberg</t>
  </si>
  <si>
    <t>Kristen Schaal</t>
  </si>
  <si>
    <t>James Caan</t>
  </si>
  <si>
    <t>Concussion</t>
  </si>
  <si>
    <t>Peter Landesman</t>
  </si>
  <si>
    <t>Paul Reiser</t>
  </si>
  <si>
    <t>Creed</t>
  </si>
  <si>
    <t>Ryan Coogler</t>
  </si>
  <si>
    <t>Tessa Thompson</t>
  </si>
  <si>
    <t>Graham McTavish</t>
  </si>
  <si>
    <t>Tony Bellew</t>
  </si>
  <si>
    <t>Criminal</t>
  </si>
  <si>
    <t>Ariel Vromen</t>
  </si>
  <si>
    <t>Kevin Costner</t>
  </si>
  <si>
    <t>Tommy Lee Jones</t>
  </si>
  <si>
    <t>Alice Eve</t>
  </si>
  <si>
    <t>Gal Gadot</t>
  </si>
  <si>
    <t>Crimson Peak</t>
  </si>
  <si>
    <t>Guillermo del Toro</t>
  </si>
  <si>
    <t>Mia Wasikowska</t>
  </si>
  <si>
    <t>Tom Hiddleston</t>
  </si>
  <si>
    <t>Charlie Hunnam</t>
  </si>
  <si>
    <t>Jim Beaver</t>
  </si>
  <si>
    <t>Daddy's Home</t>
  </si>
  <si>
    <t>Sean Anders</t>
  </si>
  <si>
    <t>John Morris</t>
  </si>
  <si>
    <t>Will Ferrell</t>
  </si>
  <si>
    <t>Linda Cardellini</t>
  </si>
  <si>
    <t>Danny Collins</t>
  </si>
  <si>
    <t>Dan Fogelman</t>
  </si>
  <si>
    <t>Al Pacino</t>
  </si>
  <si>
    <t>Annette Bening</t>
  </si>
  <si>
    <t>Jennifer Garner</t>
  </si>
  <si>
    <t>Christopher Plummer</t>
  </si>
  <si>
    <t>Dark Shadows</t>
  </si>
  <si>
    <t>Michelle Pfeiffer</t>
  </si>
  <si>
    <t>Helena Bonham Carter</t>
  </si>
  <si>
    <t>Jackie Earle Haley</t>
  </si>
  <si>
    <t>Dark Skies</t>
  </si>
  <si>
    <t>Scott Charles Stewart</t>
  </si>
  <si>
    <t>Keri Russell</t>
  </si>
  <si>
    <t>Josh Hamilton</t>
  </si>
  <si>
    <t>Dakota Goyo</t>
  </si>
  <si>
    <t>Dawn of the Planet of the Apes</t>
  </si>
  <si>
    <t>Matt Reeves</t>
  </si>
  <si>
    <t>Andy Serkis</t>
  </si>
  <si>
    <t>Kodi Smit-McPhee</t>
  </si>
  <si>
    <t>Dead Man Down</t>
  </si>
  <si>
    <t>Niels Arden Oplev</t>
  </si>
  <si>
    <t>Colin Farrell</t>
  </si>
  <si>
    <t>Terrence Howard</t>
  </si>
  <si>
    <t>Wade Barrett</t>
  </si>
  <si>
    <t>Deadpool</t>
  </si>
  <si>
    <t>Tim Miller</t>
  </si>
  <si>
    <t>Ryan Reynolds</t>
  </si>
  <si>
    <t>Gina Carano</t>
  </si>
  <si>
    <t>T. J. Miller</t>
  </si>
  <si>
    <t>Ed Skrein</t>
  </si>
  <si>
    <t>Morena Baccarin</t>
  </si>
  <si>
    <t>Declaration of War</t>
  </si>
  <si>
    <t>Valérie Donzelli</t>
  </si>
  <si>
    <t>Valérie Donzelli (director)</t>
  </si>
  <si>
    <t>Deliver Us from Evil</t>
  </si>
  <si>
    <t>Scott Derrickson</t>
  </si>
  <si>
    <t>Paul Harris</t>
  </si>
  <si>
    <t>Eric Bana</t>
  </si>
  <si>
    <t>Édgar Ramírez</t>
  </si>
  <si>
    <t>Olivia Munn</t>
  </si>
  <si>
    <t>Joel McHale</t>
  </si>
  <si>
    <t>Despicable Me 2</t>
  </si>
  <si>
    <t>Chris Renaud</t>
  </si>
  <si>
    <t>Pierre Coffin</t>
  </si>
  <si>
    <t>Steve Carell</t>
  </si>
  <si>
    <t>Kristen Wiig</t>
  </si>
  <si>
    <t>Miranda Cosgrove</t>
  </si>
  <si>
    <t>Dana Gaier</t>
  </si>
  <si>
    <t>Elsie Fisher</t>
  </si>
  <si>
    <t>Devil's Due</t>
  </si>
  <si>
    <t>Matt Bettinelli-Olpin</t>
  </si>
  <si>
    <t>Tyler Gillett</t>
  </si>
  <si>
    <t>Allison Miller</t>
  </si>
  <si>
    <t>Zach Gilford</t>
  </si>
  <si>
    <t>Sam Anderson</t>
  </si>
  <si>
    <t>Aimee Carrero</t>
  </si>
  <si>
    <t>Vanessa Ray</t>
  </si>
  <si>
    <t>Diary of a Wimpy Kid: Dog Days</t>
  </si>
  <si>
    <t>David Bowers</t>
  </si>
  <si>
    <t>Zachary Gordon</t>
  </si>
  <si>
    <t>Robert Capron</t>
  </si>
  <si>
    <t>Rachael Harris</t>
  </si>
  <si>
    <t>Devon Bostick</t>
  </si>
  <si>
    <t>Steve Zahn</t>
  </si>
  <si>
    <t>Divergent</t>
  </si>
  <si>
    <t>Neil Burger</t>
  </si>
  <si>
    <t>Shailene Woodley</t>
  </si>
  <si>
    <t>Kate Winslet</t>
  </si>
  <si>
    <t>Theo James</t>
  </si>
  <si>
    <t>Ansel Elgort</t>
  </si>
  <si>
    <t>Zoë Kravitz</t>
  </si>
  <si>
    <t>Django Unchained</t>
  </si>
  <si>
    <t>Quentin Tarantino</t>
  </si>
  <si>
    <t>Leonardo DiCaprio</t>
  </si>
  <si>
    <t>Samuel L. Jackson</t>
  </si>
  <si>
    <t>Bruce Dern</t>
  </si>
  <si>
    <t>Dolphin Tale 2</t>
  </si>
  <si>
    <t>Charles Martin Smith</t>
  </si>
  <si>
    <t>Winter</t>
  </si>
  <si>
    <t>Hope</t>
  </si>
  <si>
    <t>Nathan Gamble</t>
  </si>
  <si>
    <t>Harry Connick</t>
  </si>
  <si>
    <t>Jr.</t>
  </si>
  <si>
    <t>Don't Breathe</t>
  </si>
  <si>
    <t>Fede Alvarez</t>
  </si>
  <si>
    <t>Dylan Minnette</t>
  </si>
  <si>
    <t>Stephen Lang</t>
  </si>
  <si>
    <t>Daniel Zovatto</t>
  </si>
  <si>
    <t>Dr. Seuss' The Lorax</t>
  </si>
  <si>
    <t>Danny DeVito</t>
  </si>
  <si>
    <t>Zac Efron</t>
  </si>
  <si>
    <t>Taylor Swift</t>
  </si>
  <si>
    <t>Ed Helms</t>
  </si>
  <si>
    <t>Dracula Untold</t>
  </si>
  <si>
    <t>Gary Shore</t>
  </si>
  <si>
    <t>Luke Evans</t>
  </si>
  <si>
    <t>Sarah Gadon</t>
  </si>
  <si>
    <t>William Houston</t>
  </si>
  <si>
    <t>Samantha Barks</t>
  </si>
  <si>
    <t>Draft Day</t>
  </si>
  <si>
    <t>Ivan Reitman</t>
  </si>
  <si>
    <t>Denis Leary</t>
  </si>
  <si>
    <t>Frank Langella</t>
  </si>
  <si>
    <t>Tom Welling</t>
  </si>
  <si>
    <t>Dragon Blade</t>
  </si>
  <si>
    <t>Daniel Lee</t>
  </si>
  <si>
    <t>Jackie Chan</t>
  </si>
  <si>
    <t>Choi Siwon</t>
  </si>
  <si>
    <t>John Cusack</t>
  </si>
  <si>
    <t>Adrien Brody</t>
  </si>
  <si>
    <t>James Lee Guy</t>
  </si>
  <si>
    <t>Dumb and Dumber To</t>
  </si>
  <si>
    <t>Peter Farrelly</t>
  </si>
  <si>
    <t>Bobby Farrelly</t>
  </si>
  <si>
    <t>Jim Carrey</t>
  </si>
  <si>
    <t>Jeff Daniels</t>
  </si>
  <si>
    <t>Kathleen Turner</t>
  </si>
  <si>
    <t>Laurie Holden</t>
  </si>
  <si>
    <t>Earth to Echo</t>
  </si>
  <si>
    <t>Dave Green</t>
  </si>
  <si>
    <t>Astro</t>
  </si>
  <si>
    <t>Teo Halm</t>
  </si>
  <si>
    <t>Reese Hartwig</t>
  </si>
  <si>
    <t>Ella Wahlestedt</t>
  </si>
  <si>
    <t>Eddie the Eagle</t>
  </si>
  <si>
    <t>Dexter Fletcher</t>
  </si>
  <si>
    <t>Taron Egerton</t>
  </si>
  <si>
    <t>Christopher Walken</t>
  </si>
  <si>
    <t>Edge of Tomorrow</t>
  </si>
  <si>
    <t>Doug Liman</t>
  </si>
  <si>
    <t>Tom Cruise</t>
  </si>
  <si>
    <t>Emily Blunt</t>
  </si>
  <si>
    <t>Elysium</t>
  </si>
  <si>
    <t>Matt Damon</t>
  </si>
  <si>
    <t>Jodie Foster</t>
  </si>
  <si>
    <t>Wagner Moura</t>
  </si>
  <si>
    <t>Alice Braga</t>
  </si>
  <si>
    <t>Embrace of the Serpent</t>
  </si>
  <si>
    <t>Ciro Guerra</t>
  </si>
  <si>
    <t>Jan Bijvoet</t>
  </si>
  <si>
    <t>Nilbio Torres</t>
  </si>
  <si>
    <t>Antonio Bolívar</t>
  </si>
  <si>
    <t>End of Watch</t>
  </si>
  <si>
    <t>David Ayer</t>
  </si>
  <si>
    <t>Jake Gyllenhaal</t>
  </si>
  <si>
    <t>Anna Kendrick</t>
  </si>
  <si>
    <t>Frank Grillo</t>
  </si>
  <si>
    <t>Enough Said</t>
  </si>
  <si>
    <t>Nicole Holofcener</t>
  </si>
  <si>
    <t>James Gandolfini</t>
  </si>
  <si>
    <t>Julia Louis-Dreyfus</t>
  </si>
  <si>
    <t>Catherine Keener</t>
  </si>
  <si>
    <t>Ben Falcone</t>
  </si>
  <si>
    <t>Entourage</t>
  </si>
  <si>
    <t>Doug Ellin</t>
  </si>
  <si>
    <t>Adrian Grenier</t>
  </si>
  <si>
    <t>Kevin Connolly</t>
  </si>
  <si>
    <t>Kevin Dillon</t>
  </si>
  <si>
    <t>Jerry Ferrara</t>
  </si>
  <si>
    <t>Jeremy Piven</t>
  </si>
  <si>
    <t>Epic</t>
  </si>
  <si>
    <t>Chris Wedge</t>
  </si>
  <si>
    <t>Josh Hutcherson</t>
  </si>
  <si>
    <t>Amanda Seyfried</t>
  </si>
  <si>
    <t>Jason Sudeikis</t>
  </si>
  <si>
    <t>Escape from Planet Earth</t>
  </si>
  <si>
    <t>Cal Brunker</t>
  </si>
  <si>
    <t>Brendan Fraser</t>
  </si>
  <si>
    <t>Rob Corddry</t>
  </si>
  <si>
    <t>Jessica Alba</t>
  </si>
  <si>
    <t>William Shatner</t>
  </si>
  <si>
    <t>Sarah Jessica Parker</t>
  </si>
  <si>
    <t>Evil Dead</t>
  </si>
  <si>
    <t>Jane Levy</t>
  </si>
  <si>
    <t>Shiloh Fernandez</t>
  </si>
  <si>
    <t>Lou Taylor Pucci</t>
  </si>
  <si>
    <t>Jessica Lucas</t>
  </si>
  <si>
    <t>Elizabeth Blackmore</t>
  </si>
  <si>
    <t>Ex Machina</t>
  </si>
  <si>
    <t>Alex Garland</t>
  </si>
  <si>
    <t>Alicia Vikander</t>
  </si>
  <si>
    <t>Eye in the Sky</t>
  </si>
  <si>
    <t>Gavin Hood</t>
  </si>
  <si>
    <t>Helen Mirren</t>
  </si>
  <si>
    <t>Alan Rickman</t>
  </si>
  <si>
    <t>Barkhad Abdi</t>
  </si>
  <si>
    <t>Fantastic Four</t>
  </si>
  <si>
    <t>Miles Teller</t>
  </si>
  <si>
    <t>Jamie Bell</t>
  </si>
  <si>
    <t>Fast &amp; Furious 6</t>
  </si>
  <si>
    <t>Justin Lin</t>
  </si>
  <si>
    <t>Vin Diesel</t>
  </si>
  <si>
    <t>Michelle Rodriguez</t>
  </si>
  <si>
    <t>Jordana Brewster</t>
  </si>
  <si>
    <t>Flight</t>
  </si>
  <si>
    <t>Robert Zemeckis</t>
  </si>
  <si>
    <t>Brian Geraghty</t>
  </si>
  <si>
    <t>Nadine Velazquez</t>
  </si>
  <si>
    <t>Bruce Greenwood</t>
  </si>
  <si>
    <t>Florence Foster Jenkins</t>
  </si>
  <si>
    <t>Stephen Frears</t>
  </si>
  <si>
    <t>Meryl Streep</t>
  </si>
  <si>
    <t>Hugh Grant</t>
  </si>
  <si>
    <t>Simon Helberg</t>
  </si>
  <si>
    <t>Nina Arianda</t>
  </si>
  <si>
    <t>Rebecca Ferguson</t>
  </si>
  <si>
    <t>Frances Ha</t>
  </si>
  <si>
    <t>Noah Baumbach</t>
  </si>
  <si>
    <t>Greta Gerwig</t>
  </si>
  <si>
    <t>Charlotte d'Amboise</t>
  </si>
  <si>
    <t>Adam Driver</t>
  </si>
  <si>
    <t>Grace Gummer</t>
  </si>
  <si>
    <t>Patrick Heusinger</t>
  </si>
  <si>
    <t>Free State of Jones</t>
  </si>
  <si>
    <t>Gary Ross</t>
  </si>
  <si>
    <t>Matthew McConaughey</t>
  </si>
  <si>
    <t>Mahershala Ali</t>
  </si>
  <si>
    <t>Friends with Kids</t>
  </si>
  <si>
    <t>Jennifer Westfeldt</t>
  </si>
  <si>
    <t>Adam Scott</t>
  </si>
  <si>
    <t>Jon Hamm</t>
  </si>
  <si>
    <t>Maya Rudolph</t>
  </si>
  <si>
    <t>Fun Size</t>
  </si>
  <si>
    <t>Josh Schwartz</t>
  </si>
  <si>
    <t>Victoria Justice</t>
  </si>
  <si>
    <t>Thomas McDonell</t>
  </si>
  <si>
    <t>Thomas Mann</t>
  </si>
  <si>
    <t>Chelsea Handler</t>
  </si>
  <si>
    <t>Fury</t>
  </si>
  <si>
    <t>Shia LaBeouf</t>
  </si>
  <si>
    <t>Logan Lerman</t>
  </si>
  <si>
    <t>Jon Bernthal</t>
  </si>
  <si>
    <t>G.I. Joe: Retaliation</t>
  </si>
  <si>
    <t>Jon Chu</t>
  </si>
  <si>
    <t>Ray Park</t>
  </si>
  <si>
    <t>Elodie Yung</t>
  </si>
  <si>
    <t>Gangster Squad</t>
  </si>
  <si>
    <t>Ruben Fleischer</t>
  </si>
  <si>
    <t>Ryan Gosling</t>
  </si>
  <si>
    <t>Sean Penn</t>
  </si>
  <si>
    <t>Josh Brolin</t>
  </si>
  <si>
    <t>Robert Patrick</t>
  </si>
  <si>
    <t>Get Hard</t>
  </si>
  <si>
    <t>Etan Cohen</t>
  </si>
  <si>
    <t>Alison Brie</t>
  </si>
  <si>
    <t>Craig T. Nelson</t>
  </si>
  <si>
    <t>T.I.</t>
  </si>
  <si>
    <t>Get on Up</t>
  </si>
  <si>
    <t>Tate Taylor</t>
  </si>
  <si>
    <t>Nelsan Ellis</t>
  </si>
  <si>
    <t>Brandon Mychal Smith</t>
  </si>
  <si>
    <t>Jill Scott</t>
  </si>
  <si>
    <t>Tika Sumpter</t>
  </si>
  <si>
    <t>Getaway</t>
  </si>
  <si>
    <t>Courtney Solomon</t>
  </si>
  <si>
    <t>Yaron Levy</t>
  </si>
  <si>
    <t>Selena Gomez</t>
  </si>
  <si>
    <t>Jon Voight</t>
  </si>
  <si>
    <t>James Maslow</t>
  </si>
  <si>
    <t>Ghost Rider: Spirit of Vengeance</t>
  </si>
  <si>
    <t>Mark Neveldine</t>
  </si>
  <si>
    <t>Brian Taylor</t>
  </si>
  <si>
    <t>Nicolas Cage</t>
  </si>
  <si>
    <t>Idris Elba</t>
  </si>
  <si>
    <t>Fergus Riordan</t>
  </si>
  <si>
    <t>Ciarán Hinds</t>
  </si>
  <si>
    <t>Violante Placido</t>
  </si>
  <si>
    <t>Ghostbusters</t>
  </si>
  <si>
    <t>Paul Feig</t>
  </si>
  <si>
    <t>Melissa McCarthy</t>
  </si>
  <si>
    <t>Leslie Jones</t>
  </si>
  <si>
    <t>Kate McKinnon</t>
  </si>
  <si>
    <t>God's Not Dead</t>
  </si>
  <si>
    <t>Religious</t>
  </si>
  <si>
    <t>Harold Cronk</t>
  </si>
  <si>
    <t>Willie Robertson</t>
  </si>
  <si>
    <t>David A. R. White</t>
  </si>
  <si>
    <t>Shane Harper</t>
  </si>
  <si>
    <t>Kevin Sorbo</t>
  </si>
  <si>
    <t>Korie Robertson</t>
  </si>
  <si>
    <t>God's Not Dead 2</t>
  </si>
  <si>
    <t>Melissa Joan Hart</t>
  </si>
  <si>
    <t>Robin Givens</t>
  </si>
  <si>
    <t>Ernie Hudson</t>
  </si>
  <si>
    <t>Gods of Egypt</t>
  </si>
  <si>
    <t>Alex Proyas</t>
  </si>
  <si>
    <t>Geoffrey Rush</t>
  </si>
  <si>
    <t>Brenton Thwaites</t>
  </si>
  <si>
    <t>Courtney Eaton</t>
  </si>
  <si>
    <t>Nikolaj Coster-Waldau</t>
  </si>
  <si>
    <t>Godzilla</t>
  </si>
  <si>
    <t>Gareth Edwards</t>
  </si>
  <si>
    <t>Aaron Taylor-Johnson</t>
  </si>
  <si>
    <t>Ken Watanabe</t>
  </si>
  <si>
    <t>Elizabeth Olsen</t>
  </si>
  <si>
    <t>Juliette Binoche</t>
  </si>
  <si>
    <t>Gone Girl</t>
  </si>
  <si>
    <t>David Fincher</t>
  </si>
  <si>
    <t>Rosamund Pike</t>
  </si>
  <si>
    <t>Neil Patrick Harris</t>
  </si>
  <si>
    <t>Kim Dickens</t>
  </si>
  <si>
    <t>Good Deeds</t>
  </si>
  <si>
    <t>Thandie Newton</t>
  </si>
  <si>
    <t>Rebecca Romijn</t>
  </si>
  <si>
    <t>Brian J. White</t>
  </si>
  <si>
    <t>Jamie Kennedy</t>
  </si>
  <si>
    <t>Goosebumps</t>
  </si>
  <si>
    <t>Rob Letterman</t>
  </si>
  <si>
    <t>Jack Black</t>
  </si>
  <si>
    <t>Odeya Rush</t>
  </si>
  <si>
    <t>Ryan Lee</t>
  </si>
  <si>
    <t>Grown Ups 2</t>
  </si>
  <si>
    <t>Dennis Dugan</t>
  </si>
  <si>
    <t>Kevin James</t>
  </si>
  <si>
    <t>Chris Rock</t>
  </si>
  <si>
    <t>David Spade</t>
  </si>
  <si>
    <t>Taylor Lautner</t>
  </si>
  <si>
    <t>Hail, Caesar!</t>
  </si>
  <si>
    <t>Joel and Ethan Coen</t>
  </si>
  <si>
    <t>George Clooney</t>
  </si>
  <si>
    <t>Alden Ehrenreich</t>
  </si>
  <si>
    <t>Ralph Fiennes</t>
  </si>
  <si>
    <t>Hands of Stone</t>
  </si>
  <si>
    <t>Jonathan Jakubowicz</t>
  </si>
  <si>
    <t>Robert De Niro</t>
  </si>
  <si>
    <t>Usher</t>
  </si>
  <si>
    <t>Ellen Barkin</t>
  </si>
  <si>
    <t>Ana de Armas</t>
  </si>
  <si>
    <t>Hansel and Gretel: Witch Hunters</t>
  </si>
  <si>
    <t>Tommy Wirkola</t>
  </si>
  <si>
    <t>Jeremy Renner</t>
  </si>
  <si>
    <t>Gemma Arterton</t>
  </si>
  <si>
    <t>Zoe Bell</t>
  </si>
  <si>
    <t>Famke Janssen</t>
  </si>
  <si>
    <t>Peter Stormare</t>
  </si>
  <si>
    <t>Heaven Is for Real</t>
  </si>
  <si>
    <t>Randall Wallace</t>
  </si>
  <si>
    <t>Greg Kinnear</t>
  </si>
  <si>
    <t>Kelly Reilly</t>
  </si>
  <si>
    <t>Connor Corum</t>
  </si>
  <si>
    <t>Thomas Haden Church</t>
  </si>
  <si>
    <t>Jacob Vargas</t>
  </si>
  <si>
    <t>Here Comes the Boom</t>
  </si>
  <si>
    <t>Salma Hayek</t>
  </si>
  <si>
    <t>Henry Winkler</t>
  </si>
  <si>
    <t>Joe Rogan</t>
  </si>
  <si>
    <t>Hit and Run</t>
  </si>
  <si>
    <t>Dax Shepard</t>
  </si>
  <si>
    <t>Tom Arnold</t>
  </si>
  <si>
    <t>Kristin Chenoweth</t>
  </si>
  <si>
    <t>Hitman: Agent 47</t>
  </si>
  <si>
    <t>Aleksander Bach</t>
  </si>
  <si>
    <t>Rupert Friend</t>
  </si>
  <si>
    <t>Zachary Quinto</t>
  </si>
  <si>
    <t>Hannah Ware</t>
  </si>
  <si>
    <t>Thomas Kretschmann</t>
  </si>
  <si>
    <t>Home</t>
  </si>
  <si>
    <t>Animation</t>
  </si>
  <si>
    <t>Tim Johnson</t>
  </si>
  <si>
    <t>Jim Parsons</t>
  </si>
  <si>
    <t>Jennifer Lopez</t>
  </si>
  <si>
    <t>Steve Martin</t>
  </si>
  <si>
    <t>Matt Jones</t>
  </si>
  <si>
    <t>Hope Springs</t>
  </si>
  <si>
    <t>David Frankel</t>
  </si>
  <si>
    <t>Mimi Rogers</t>
  </si>
  <si>
    <t>Horrible Bosses 2</t>
  </si>
  <si>
    <t>Jason Bateman</t>
  </si>
  <si>
    <t>Charlie Day</t>
  </si>
  <si>
    <t>Kevin Spacey</t>
  </si>
  <si>
    <t>Jennifer Aniston</t>
  </si>
  <si>
    <t>Hot Pursuit</t>
  </si>
  <si>
    <t>Anne Fletcher</t>
  </si>
  <si>
    <t>Reese Witherspoon</t>
  </si>
  <si>
    <t>Jim Gaffigan</t>
  </si>
  <si>
    <t>John Carroll Lynch</t>
  </si>
  <si>
    <t>Hotel Transylvania</t>
  </si>
  <si>
    <t>Genndy Tartakovsky</t>
  </si>
  <si>
    <t>Fran Drescher</t>
  </si>
  <si>
    <t>Hotel Transylvania 2</t>
  </si>
  <si>
    <t>Steve Buscemi</t>
  </si>
  <si>
    <t>How to Train Your Dragon 2</t>
  </si>
  <si>
    <t>Dean DeBlois</t>
  </si>
  <si>
    <t>Jay Baruchel</t>
  </si>
  <si>
    <t>Craig Ferguson</t>
  </si>
  <si>
    <t>I</t>
  </si>
  <si>
    <t>S. Shankar</t>
  </si>
  <si>
    <t>Vikram</t>
  </si>
  <si>
    <t>Amy Jackson</t>
  </si>
  <si>
    <t>N. Santhanam</t>
  </si>
  <si>
    <t>Suresh Gopi</t>
  </si>
  <si>
    <t>Upen Patel</t>
  </si>
  <si>
    <t>I Saw the Light</t>
  </si>
  <si>
    <t>Marc Abraham</t>
  </si>
  <si>
    <t>Ice Age: Collision Course</t>
  </si>
  <si>
    <t>Mike Thurmeier</t>
  </si>
  <si>
    <t>Galen T. Chu</t>
  </si>
  <si>
    <t>Ray Romano</t>
  </si>
  <si>
    <t>Queen Latifah</t>
  </si>
  <si>
    <t>Ice Age: Continental Drift</t>
  </si>
  <si>
    <t>Steve Martino</t>
  </si>
  <si>
    <t>Identity Thief</t>
  </si>
  <si>
    <t>Seth Gordon</t>
  </si>
  <si>
    <t>Amanda Peet</t>
  </si>
  <si>
    <t>John Cho</t>
  </si>
  <si>
    <t>If I Stay</t>
  </si>
  <si>
    <t>R. J. Cutler</t>
  </si>
  <si>
    <t>Chloë Grace Moretz</t>
  </si>
  <si>
    <t>Mireille Enos</t>
  </si>
  <si>
    <t>Lauren Lee Smith</t>
  </si>
  <si>
    <t>Liana Liberato</t>
  </si>
  <si>
    <t>Jamie Blackley</t>
  </si>
  <si>
    <t>In the Heart of the Sea</t>
  </si>
  <si>
    <t>Ron Howard</t>
  </si>
  <si>
    <t>Cillian Murphy</t>
  </si>
  <si>
    <t>Tom Holland</t>
  </si>
  <si>
    <t>Independence Day: Resurgence</t>
  </si>
  <si>
    <t>Roland Emmerich</t>
  </si>
  <si>
    <t>Jeff Goldblum</t>
  </si>
  <si>
    <t>Bill Pullman</t>
  </si>
  <si>
    <t>Sela Ward</t>
  </si>
  <si>
    <t>Liam Hemsworth</t>
  </si>
  <si>
    <t>Vivica A. Fox</t>
  </si>
  <si>
    <t>Insidious: Chapter 2</t>
  </si>
  <si>
    <t>James Wan</t>
  </si>
  <si>
    <t>Patrick Wilson</t>
  </si>
  <si>
    <t>Lin Shaye</t>
  </si>
  <si>
    <t>Ty Simpkins</t>
  </si>
  <si>
    <t>Insidious: Chapter 3</t>
  </si>
  <si>
    <t>Leigh Whannell</t>
  </si>
  <si>
    <t>Dermot Mulroney</t>
  </si>
  <si>
    <t>Stefanie Scott</t>
  </si>
  <si>
    <t>Angus Sampson</t>
  </si>
  <si>
    <t>Interstellar</t>
  </si>
  <si>
    <t>Christopher Nolan</t>
  </si>
  <si>
    <t>Anne Hathaway</t>
  </si>
  <si>
    <t>Michael Caine</t>
  </si>
  <si>
    <t>Into the Storm</t>
  </si>
  <si>
    <t>Steven Quale</t>
  </si>
  <si>
    <t>Richard Armitage</t>
  </si>
  <si>
    <t>Jeremy Sumpter</t>
  </si>
  <si>
    <t>Sarah Wayne Callies</t>
  </si>
  <si>
    <t>Nathan Kress</t>
  </si>
  <si>
    <t>Iron Sky</t>
  </si>
  <si>
    <t>Timo Vuorensola</t>
  </si>
  <si>
    <t>Julia Dietze</t>
  </si>
  <si>
    <t>Peta Sergeant</t>
  </si>
  <si>
    <t>Gotz Otto</t>
  </si>
  <si>
    <t>Chris Kirby</t>
  </si>
  <si>
    <t>Udo Kier</t>
  </si>
  <si>
    <t>Irrational Man</t>
  </si>
  <si>
    <t>Joaquin Phoenix</t>
  </si>
  <si>
    <t>Parker Posey</t>
  </si>
  <si>
    <t>Jack Reacher</t>
  </si>
  <si>
    <t>Christopher McQuarrie</t>
  </si>
  <si>
    <t>Richard Jenkins</t>
  </si>
  <si>
    <t>Alexia Fast</t>
  </si>
  <si>
    <t>Jack Ryan: Shadow Recruit</t>
  </si>
  <si>
    <t>Kenneth Branagh</t>
  </si>
  <si>
    <t>David Koepp</t>
  </si>
  <si>
    <t>Adam Cozad</t>
  </si>
  <si>
    <t>Anthony Peckham</t>
  </si>
  <si>
    <t>Steve Zaillian</t>
  </si>
  <si>
    <t>Chris Pine</t>
  </si>
  <si>
    <t>Jane Got a Gun</t>
  </si>
  <si>
    <t>Gavin O'Connor</t>
  </si>
  <si>
    <t>Natalie Portman</t>
  </si>
  <si>
    <t>Ewan McGregor</t>
  </si>
  <si>
    <t>Noah Emmerich</t>
  </si>
  <si>
    <t>Jason Bourne</t>
  </si>
  <si>
    <t>Paul Greengrass</t>
  </si>
  <si>
    <t>Julia Stiles</t>
  </si>
  <si>
    <t>Riz Ahmed</t>
  </si>
  <si>
    <t>Vincent Cassel</t>
  </si>
  <si>
    <t>Jeff, Who Lives at Home</t>
  </si>
  <si>
    <t>Jay Duplass</t>
  </si>
  <si>
    <t>Jason Segel</t>
  </si>
  <si>
    <t>Judy Greer</t>
  </si>
  <si>
    <t>Susan Sarandon</t>
  </si>
  <si>
    <t>Evan Ross</t>
  </si>
  <si>
    <t>Jem and the Holograms</t>
  </si>
  <si>
    <t>Jon M. Chu</t>
  </si>
  <si>
    <t>Aubrey Peeples</t>
  </si>
  <si>
    <t>Hayley Kiyoko</t>
  </si>
  <si>
    <t>Aurora Perrineau</t>
  </si>
  <si>
    <t>Ryan Guzman</t>
  </si>
  <si>
    <t>Jersey Boys</t>
  </si>
  <si>
    <t>John Lloyd Young</t>
  </si>
  <si>
    <t>Erec Bergen</t>
  </si>
  <si>
    <t>Vincent Piazza</t>
  </si>
  <si>
    <t>Michael Lamenda</t>
  </si>
  <si>
    <t>Jobs</t>
  </si>
  <si>
    <t>Joshua Michael Stern</t>
  </si>
  <si>
    <t>Ashton Kutcher</t>
  </si>
  <si>
    <t>Josh Gad</t>
  </si>
  <si>
    <t>Lukas Haas</t>
  </si>
  <si>
    <t>J.K. Simmons</t>
  </si>
  <si>
    <t>John Wick</t>
  </si>
  <si>
    <t>Chad Stahelski</t>
  </si>
  <si>
    <t>David Leitch (director</t>
  </si>
  <si>
    <t>Keanu Reeves</t>
  </si>
  <si>
    <t>Bridget Moynahan</t>
  </si>
  <si>
    <t>Journey 2: The Mysterious Island</t>
  </si>
  <si>
    <t>Brad Peyton</t>
  </si>
  <si>
    <t>Vanessa Hudgens</t>
  </si>
  <si>
    <t>Luis Guzmán</t>
  </si>
  <si>
    <t>Joy</t>
  </si>
  <si>
    <t>David O. Russell</t>
  </si>
  <si>
    <t>Jennifer Lawrence</t>
  </si>
  <si>
    <t>Keanu</t>
  </si>
  <si>
    <t>Peter Atencio</t>
  </si>
  <si>
    <t>Keegan-Michael Key</t>
  </si>
  <si>
    <t>Jordan Peele</t>
  </si>
  <si>
    <t>Method Man</t>
  </si>
  <si>
    <t>Gabrielle Union</t>
  </si>
  <si>
    <t>Will Forte</t>
  </si>
  <si>
    <t>Kill the Messenger</t>
  </si>
  <si>
    <t>Michael Cuesta</t>
  </si>
  <si>
    <t>Barry Pepper</t>
  </si>
  <si>
    <t>Rosemarie DeWitt</t>
  </si>
  <si>
    <t>Ray Liotta</t>
  </si>
  <si>
    <t>Killing Them Softly</t>
  </si>
  <si>
    <t>Andrew Dominik</t>
  </si>
  <si>
    <t>Vincent Curatola</t>
  </si>
  <si>
    <t>Scoot McNairy</t>
  </si>
  <si>
    <t>Ben Mendelsohn</t>
  </si>
  <si>
    <t>Kingsman: The Secret Service</t>
  </si>
  <si>
    <t>Matthew Vaughn</t>
  </si>
  <si>
    <t>Krampus</t>
  </si>
  <si>
    <t>Michael Dougherty</t>
  </si>
  <si>
    <t>Emjay Anthony</t>
  </si>
  <si>
    <t>Allison Tolman</t>
  </si>
  <si>
    <t>Kubo and the Two Strings</t>
  </si>
  <si>
    <t>Travis Knight</t>
  </si>
  <si>
    <t>Art Parkinson</t>
  </si>
  <si>
    <t>Charlize Theron</t>
  </si>
  <si>
    <t>Kung Fu Panda 3</t>
  </si>
  <si>
    <t>Jennifer Yuh Nelson</t>
  </si>
  <si>
    <t>Alessandro Carloni</t>
  </si>
  <si>
    <t>Dustin Hoffman</t>
  </si>
  <si>
    <t>Seth Rogen</t>
  </si>
  <si>
    <t>Lazer Team</t>
  </si>
  <si>
    <t>Matt Hullum</t>
  </si>
  <si>
    <t>Burnie Burns</t>
  </si>
  <si>
    <t>Gavin Free</t>
  </si>
  <si>
    <t>Michael Jones</t>
  </si>
  <si>
    <t>Colton Dunn</t>
  </si>
  <si>
    <t>Allie DeBerry</t>
  </si>
  <si>
    <t>Left Behind</t>
  </si>
  <si>
    <t>Vic Armstrong</t>
  </si>
  <si>
    <t>Chad Michael Murray</t>
  </si>
  <si>
    <t>Cassi Thomson</t>
  </si>
  <si>
    <t>Nicky Whelan</t>
  </si>
  <si>
    <t>Jordin Sparks</t>
  </si>
  <si>
    <t>Les Misérables</t>
  </si>
  <si>
    <t>Tom Hooper</t>
  </si>
  <si>
    <t>Russell Crowe</t>
  </si>
  <si>
    <t>Eddie Redmayne</t>
  </si>
  <si>
    <t>Colm Wilkinson</t>
  </si>
  <si>
    <t>Let's Be Cops</t>
  </si>
  <si>
    <t>Luke Greenfield</t>
  </si>
  <si>
    <t>Jake Johnson</t>
  </si>
  <si>
    <t>Damon Wayans</t>
  </si>
  <si>
    <t>Life of Pi</t>
  </si>
  <si>
    <t>Ang Lee</t>
  </si>
  <si>
    <t>Suraj Sharma</t>
  </si>
  <si>
    <t>Ayush Tandon</t>
  </si>
  <si>
    <t>Irrfan Khan</t>
  </si>
  <si>
    <t>Gérard Depardieu</t>
  </si>
  <si>
    <t>Lights Out</t>
  </si>
  <si>
    <t>David F. Sandberg</t>
  </si>
  <si>
    <t>Teresa Palmer</t>
  </si>
  <si>
    <t>Gabriel Bateman</t>
  </si>
  <si>
    <t>Alexander DiPersia</t>
  </si>
  <si>
    <t>Lincoln</t>
  </si>
  <si>
    <t>Daniel Day-Lewis</t>
  </si>
  <si>
    <t>David Strathairn</t>
  </si>
  <si>
    <t>Hal Holbrook</t>
  </si>
  <si>
    <t>Sally Field</t>
  </si>
  <si>
    <t>Joseph Gordon-Levitt</t>
  </si>
  <si>
    <t>Little Boy</t>
  </si>
  <si>
    <t>Alejandro Gómez Monteverde</t>
  </si>
  <si>
    <t>Jakob Salvati</t>
  </si>
  <si>
    <t>David Henrie</t>
  </si>
  <si>
    <t>Emily Watson</t>
  </si>
  <si>
    <t>Ted Levine</t>
  </si>
  <si>
    <t>Lockout</t>
  </si>
  <si>
    <t>James Mather</t>
  </si>
  <si>
    <t>Stephen St.Leger</t>
  </si>
  <si>
    <t>Guy Pearce</t>
  </si>
  <si>
    <t>Maggie Grace</t>
  </si>
  <si>
    <t>Lennie James</t>
  </si>
  <si>
    <t>Vincent Regan</t>
  </si>
  <si>
    <t>London Has Fallen</t>
  </si>
  <si>
    <t>Babak Najafi</t>
  </si>
  <si>
    <t>Aaron Eckhart</t>
  </si>
  <si>
    <t>Angela Bassett</t>
  </si>
  <si>
    <t>Alon Aboutboul</t>
  </si>
  <si>
    <t>Looper</t>
  </si>
  <si>
    <t>Rian Johnson</t>
  </si>
  <si>
    <t>Paul Dano</t>
  </si>
  <si>
    <t>Noah Segan</t>
  </si>
  <si>
    <t>Love the Coopers</t>
  </si>
  <si>
    <t>Jessie Nelson</t>
  </si>
  <si>
    <t>Diane Keaton</t>
  </si>
  <si>
    <t>Olivia Wilde</t>
  </si>
  <si>
    <t>Lucy</t>
  </si>
  <si>
    <t>Luc Besson</t>
  </si>
  <si>
    <t>Choi Min-sik</t>
  </si>
  <si>
    <t>Mad Max: Fury Road</t>
  </si>
  <si>
    <t>George Miller</t>
  </si>
  <si>
    <t>Hugh Keays-Byrne</t>
  </si>
  <si>
    <t>Nicholas Hoult</t>
  </si>
  <si>
    <t>Rosie Huntington-Whiteley</t>
  </si>
  <si>
    <t>Madagascar 3: Europe's Most Wanted</t>
  </si>
  <si>
    <t>Eric Darnell</t>
  </si>
  <si>
    <t>Noah Baumbach(screenplay); Ben Stiller</t>
  </si>
  <si>
    <t>David Schwimmer</t>
  </si>
  <si>
    <t>Sacha Baron Cohen</t>
  </si>
  <si>
    <t>Magic in the Moonlight</t>
  </si>
  <si>
    <t>Hamish Linklater</t>
  </si>
  <si>
    <t>Marcia Gay Harden</t>
  </si>
  <si>
    <t>Jacki Weaver</t>
  </si>
  <si>
    <t>Mama</t>
  </si>
  <si>
    <t>Andres Muschietti</t>
  </si>
  <si>
    <t>Daniel Kash</t>
  </si>
  <si>
    <t>David Fox</t>
  </si>
  <si>
    <t>Man of Steel</t>
  </si>
  <si>
    <t>Michael Shannon</t>
  </si>
  <si>
    <t>Man on a Ledge</t>
  </si>
  <si>
    <t>Asger Leth</t>
  </si>
  <si>
    <t>Sam Worthington</t>
  </si>
  <si>
    <t>Ed Harris</t>
  </si>
  <si>
    <t>Elizabeth Banks</t>
  </si>
  <si>
    <t>Kyra Sedgwick</t>
  </si>
  <si>
    <t>Max</t>
  </si>
  <si>
    <t>Boaz Yakin</t>
  </si>
  <si>
    <t>Josh Wiggins</t>
  </si>
  <si>
    <t>Lauren Graham</t>
  </si>
  <si>
    <t>Maze Runner: The Scorch Trials</t>
  </si>
  <si>
    <t>Wes Ball</t>
  </si>
  <si>
    <t>Dylan O'Brien</t>
  </si>
  <si>
    <t>Ki Hong Lee</t>
  </si>
  <si>
    <t>Thomas Sangster</t>
  </si>
  <si>
    <t>Kaya Scodelario</t>
  </si>
  <si>
    <t>Patricia Clarkson</t>
  </si>
  <si>
    <t>Me and Earl and the Dying Girl</t>
  </si>
  <si>
    <t>Alfonso Gomez-Rejon</t>
  </si>
  <si>
    <t>Olivia Cooke</t>
  </si>
  <si>
    <t>Ronald Cyler II</t>
  </si>
  <si>
    <t>Nick Offerman</t>
  </si>
  <si>
    <t>Me Before You</t>
  </si>
  <si>
    <t>Thea Sharrock</t>
  </si>
  <si>
    <t>Emilia Clarke</t>
  </si>
  <si>
    <t>Sam Claflin</t>
  </si>
  <si>
    <t>Charles Dance</t>
  </si>
  <si>
    <t>Jenna Coleman</t>
  </si>
  <si>
    <t>Janet McTeer</t>
  </si>
  <si>
    <t>Mechanic: Resurrection</t>
  </si>
  <si>
    <t>Dennis Gansel</t>
  </si>
  <si>
    <t>Jason Statham</t>
  </si>
  <si>
    <t>Michelle Yeoh</t>
  </si>
  <si>
    <t>Men in Black 3</t>
  </si>
  <si>
    <t>Barry Sonnenfeld</t>
  </si>
  <si>
    <t>Jemaine Clement</t>
  </si>
  <si>
    <t>Midnight Special</t>
  </si>
  <si>
    <t>Jeff Nichols</t>
  </si>
  <si>
    <t>Kirsten Dunst</t>
  </si>
  <si>
    <t>Sam Shepard</t>
  </si>
  <si>
    <t>Miracles from Heaven</t>
  </si>
  <si>
    <t>Patricia Riggen</t>
  </si>
  <si>
    <t>Martin Henderson</t>
  </si>
  <si>
    <t>Mirror Mirror</t>
  </si>
  <si>
    <t>Tarsem Singh</t>
  </si>
  <si>
    <t>Lily Collins</t>
  </si>
  <si>
    <t>Julia Roberts</t>
  </si>
  <si>
    <t>Armie Hammer</t>
  </si>
  <si>
    <t>Nathan Lane</t>
  </si>
  <si>
    <t>Robert Emms</t>
  </si>
  <si>
    <t>Mission: Impossible – Rogue Nation</t>
  </si>
  <si>
    <t>Simon Pegg</t>
  </si>
  <si>
    <t>Ving Rhames</t>
  </si>
  <si>
    <t>Moms' Night Out</t>
  </si>
  <si>
    <t>Andrew Erwin and Jon Erwin</t>
  </si>
  <si>
    <t>Sarah Drew</t>
  </si>
  <si>
    <t>Trace Adkins</t>
  </si>
  <si>
    <t>Sean Astin</t>
  </si>
  <si>
    <t>Patricia Heaton</t>
  </si>
  <si>
    <t>Money Monster</t>
  </si>
  <si>
    <t>Dominic West</t>
  </si>
  <si>
    <t>Caitriona Balfe</t>
  </si>
  <si>
    <t>Monster Hunt</t>
  </si>
  <si>
    <t>Raman Hui</t>
  </si>
  <si>
    <t>Bai Baihe</t>
  </si>
  <si>
    <t>Jing Boran</t>
  </si>
  <si>
    <t>Jiang Wu</t>
  </si>
  <si>
    <t>Elaine Jin</t>
  </si>
  <si>
    <t>Moonrise Kingdom ₪</t>
  </si>
  <si>
    <t>Wes Anderson</t>
  </si>
  <si>
    <t>Jared Gilman</t>
  </si>
  <si>
    <t>Kara Hayward</t>
  </si>
  <si>
    <t>Edward Norton</t>
  </si>
  <si>
    <t>Mortdecai</t>
  </si>
  <si>
    <t>Aubrey Plaza</t>
  </si>
  <si>
    <t>Oliver Platt</t>
  </si>
  <si>
    <t>Mother's Day</t>
  </si>
  <si>
    <t>Garry Marshall</t>
  </si>
  <si>
    <t>Kate Hudson</t>
  </si>
  <si>
    <t>Timothy Olyphant</t>
  </si>
  <si>
    <t>Mr. Peabody &amp; Sherman</t>
  </si>
  <si>
    <t>Rob Minkoff</t>
  </si>
  <si>
    <t>Ty Burrell</t>
  </si>
  <si>
    <t>Stephen Colbert</t>
  </si>
  <si>
    <t>Ariel Winter</t>
  </si>
  <si>
    <t>Mud</t>
  </si>
  <si>
    <t>Mustang</t>
  </si>
  <si>
    <t>Deniz Gamze Ergüven</t>
  </si>
  <si>
    <t>Güneş Şensoy</t>
  </si>
  <si>
    <t>My All American</t>
  </si>
  <si>
    <t>Angelo Pizzo</t>
  </si>
  <si>
    <t>Finn Wittrock</t>
  </si>
  <si>
    <t>Robin Tunney</t>
  </si>
  <si>
    <t>Sarah Bolger</t>
  </si>
  <si>
    <t>Michael Reilly Burke</t>
  </si>
  <si>
    <t>My Big Fat Greek Wedding 2</t>
  </si>
  <si>
    <t>Kirk Jones</t>
  </si>
  <si>
    <t>Nia Vardalos</t>
  </si>
  <si>
    <t>John Corbett</t>
  </si>
  <si>
    <t>Ian Gomez</t>
  </si>
  <si>
    <t>Elena Kampouris</t>
  </si>
  <si>
    <t>Need for Speed</t>
  </si>
  <si>
    <t>Scott Waugh</t>
  </si>
  <si>
    <t>Michael Keaton</t>
  </si>
  <si>
    <t>Ramón Rodríguez</t>
  </si>
  <si>
    <t>Neighbors</t>
  </si>
  <si>
    <t>Nicholas Stoller</t>
  </si>
  <si>
    <t>Christopher Mintz-Plasse</t>
  </si>
  <si>
    <t>Dave Franco</t>
  </si>
  <si>
    <t>Neighbors 2: Sorority Rising</t>
  </si>
  <si>
    <t>Nerve</t>
  </si>
  <si>
    <t>Henry Joost</t>
  </si>
  <si>
    <t>Ariel Schulman</t>
  </si>
  <si>
    <t>Emma Roberts</t>
  </si>
  <si>
    <t>Emily Meade</t>
  </si>
  <si>
    <t>Kimiko Glenn</t>
  </si>
  <si>
    <t>Juliette Lewis</t>
  </si>
  <si>
    <t>Night at the Museum: Secret of the Tomb</t>
  </si>
  <si>
    <t>Shawn Levy</t>
  </si>
  <si>
    <t>Ben Stiller</t>
  </si>
  <si>
    <t>Robin Williams</t>
  </si>
  <si>
    <t>Owen Wilson</t>
  </si>
  <si>
    <t>Ricky Gervais</t>
  </si>
  <si>
    <t>Nightcrawler</t>
  </si>
  <si>
    <t>Dan Gilroy</t>
  </si>
  <si>
    <t>Rene Russo</t>
  </si>
  <si>
    <t>Nine Lives</t>
  </si>
  <si>
    <t>Robbie Amell</t>
  </si>
  <si>
    <t>Malina Weissman</t>
  </si>
  <si>
    <t>No Escape</t>
  </si>
  <si>
    <t>Lake Bell</t>
  </si>
  <si>
    <t>No Good Deed</t>
  </si>
  <si>
    <t>Sam Miller</t>
  </si>
  <si>
    <t>Taraji P. Henson</t>
  </si>
  <si>
    <t>Henry Simmons</t>
  </si>
  <si>
    <t>No One Lives</t>
  </si>
  <si>
    <t>Ryuhei Kitamura</t>
  </si>
  <si>
    <t>Adelaide Clemens</t>
  </si>
  <si>
    <t>America Olivo</t>
  </si>
  <si>
    <t>Derek Magyar</t>
  </si>
  <si>
    <t>Lindsey Shaw</t>
  </si>
  <si>
    <t>Noah</t>
  </si>
  <si>
    <t>Darren Aronofsky</t>
  </si>
  <si>
    <t>Jennifer Connelly</t>
  </si>
  <si>
    <t>Emma Watson</t>
  </si>
  <si>
    <t>Ray Winstone</t>
  </si>
  <si>
    <t>Non-Stop</t>
  </si>
  <si>
    <t>Jaume Collet-Serra</t>
  </si>
  <si>
    <t>Julianne Moore</t>
  </si>
  <si>
    <t>Lupita Nyong'o</t>
  </si>
  <si>
    <t>Michelle Dockery</t>
  </si>
  <si>
    <t>Now You See Me</t>
  </si>
  <si>
    <t>Louis Leterrier</t>
  </si>
  <si>
    <t>Isla Fisher</t>
  </si>
  <si>
    <t>Woody Harrelson</t>
  </si>
  <si>
    <t>Mark Ruffalo</t>
  </si>
  <si>
    <t>Now You See Me 2</t>
  </si>
  <si>
    <t>Lizzy Caplan</t>
  </si>
  <si>
    <t>Oblivion</t>
  </si>
  <si>
    <t>Joseph Kosinski</t>
  </si>
  <si>
    <t>Olga Kurylenko</t>
  </si>
  <si>
    <t>Andrea Riseborough</t>
  </si>
  <si>
    <t>Olympus Has Fallen</t>
  </si>
  <si>
    <t>Antoine Fuqua</t>
  </si>
  <si>
    <t>Rick Yune</t>
  </si>
  <si>
    <t>Dylan McDermott</t>
  </si>
  <si>
    <t>One Direction: This Is Us</t>
  </si>
  <si>
    <t>Documentary</t>
  </si>
  <si>
    <t>Morgan Spurlock</t>
  </si>
  <si>
    <t>Harry Styles</t>
  </si>
  <si>
    <t>Niall Horan</t>
  </si>
  <si>
    <t>Louis Tomlinson</t>
  </si>
  <si>
    <t>Zayn Malik</t>
  </si>
  <si>
    <t>Liam Payne</t>
  </si>
  <si>
    <t>One for the Money</t>
  </si>
  <si>
    <t>Julie Anne Robinson</t>
  </si>
  <si>
    <t>Katherine Heigl</t>
  </si>
  <si>
    <t>Debbie Reynolds</t>
  </si>
  <si>
    <t>Jason O'Mara</t>
  </si>
  <si>
    <t>Daniel Sunjata</t>
  </si>
  <si>
    <t>Sherri Shepherd</t>
  </si>
  <si>
    <t>Ouija</t>
  </si>
  <si>
    <t>Stiles White</t>
  </si>
  <si>
    <t>Douglas Smith</t>
  </si>
  <si>
    <t>Vivis Colombetti</t>
  </si>
  <si>
    <t>Ana Coto</t>
  </si>
  <si>
    <t>Erin Moriarty</t>
  </si>
  <si>
    <t>Our Brand Is Crisis</t>
  </si>
  <si>
    <t>David Gordon Green</t>
  </si>
  <si>
    <t>Sandra Bullock</t>
  </si>
  <si>
    <t>Billy Bob Thornton</t>
  </si>
  <si>
    <t>Ann Dowd</t>
  </si>
  <si>
    <t>Pacific Rim</t>
  </si>
  <si>
    <t>Ellen McLain</t>
  </si>
  <si>
    <t>Rinko Kikuchi</t>
  </si>
  <si>
    <t>Pain &amp; Gain</t>
  </si>
  <si>
    <t>Ken Jeong</t>
  </si>
  <si>
    <t>Pan</t>
  </si>
  <si>
    <t>Joe Wright</t>
  </si>
  <si>
    <t>Garrett Hedlund</t>
  </si>
  <si>
    <t>Levi Miller</t>
  </si>
  <si>
    <t>Paper Towns</t>
  </si>
  <si>
    <t>Jake Schreier</t>
  </si>
  <si>
    <t>Nat Wolff</t>
  </si>
  <si>
    <t>Cara Delevingne</t>
  </si>
  <si>
    <t>Paranormal Activity 4</t>
  </si>
  <si>
    <t>Kathryn Newton</t>
  </si>
  <si>
    <t>Katie Featherston</t>
  </si>
  <si>
    <t>Paranormal Activity: The Ghost Dimension</t>
  </si>
  <si>
    <t>Gregory Plotkin</t>
  </si>
  <si>
    <t>Tyler Craig</t>
  </si>
  <si>
    <t>ParaNorman</t>
  </si>
  <si>
    <t>Chris Butler</t>
  </si>
  <si>
    <t>Tucker Albrizzi</t>
  </si>
  <si>
    <t>Parental Guidance</t>
  </si>
  <si>
    <t>Andy Fickman</t>
  </si>
  <si>
    <t>Billy Crystal</t>
  </si>
  <si>
    <t>Bette Midler</t>
  </si>
  <si>
    <t>Marisa Tomei</t>
  </si>
  <si>
    <t>Tom Everett Scott</t>
  </si>
  <si>
    <t>Bailee Madison</t>
  </si>
  <si>
    <t>Parker</t>
  </si>
  <si>
    <t>Taylor Hackford</t>
  </si>
  <si>
    <t>Clifton Collins</t>
  </si>
  <si>
    <t>Paul Blart: Mall Cop 2</t>
  </si>
  <si>
    <t>Raini Rodriguez</t>
  </si>
  <si>
    <t>Neal McDonough</t>
  </si>
  <si>
    <t>Molly Shannon</t>
  </si>
  <si>
    <t>Daniella Alonso</t>
  </si>
  <si>
    <t>Pawn Sacrifice</t>
  </si>
  <si>
    <t>Ed Zwick</t>
  </si>
  <si>
    <t>Tobey Maguire</t>
  </si>
  <si>
    <t>Liev Schreiber</t>
  </si>
  <si>
    <t>Peter Sarsgaard</t>
  </si>
  <si>
    <t>Michael Stuhlbarg</t>
  </si>
  <si>
    <t>Lily Rabe</t>
  </si>
  <si>
    <t>Penguins of Madagascar</t>
  </si>
  <si>
    <t>Simon J. Smith</t>
  </si>
  <si>
    <t>Tom McGrath</t>
  </si>
  <si>
    <t>Conrad Vernon</t>
  </si>
  <si>
    <t>Christopher Knights</t>
  </si>
  <si>
    <t>People Like Us</t>
  </si>
  <si>
    <t>Alex Kurtzman</t>
  </si>
  <si>
    <t>Mark Duplass</t>
  </si>
  <si>
    <t>Percy Jackson: Sea of Monsters</t>
  </si>
  <si>
    <t>Thor Freudenthal</t>
  </si>
  <si>
    <t>Alexandra Daddario</t>
  </si>
  <si>
    <t>Mary Birdsong</t>
  </si>
  <si>
    <t>Yvette Nicole Brown</t>
  </si>
  <si>
    <t>Pitch Perfect</t>
  </si>
  <si>
    <t>Jason Moore</t>
  </si>
  <si>
    <t>Anna Camp</t>
  </si>
  <si>
    <t>Rebel Wilson</t>
  </si>
  <si>
    <t>Adam DeVine</t>
  </si>
  <si>
    <t>Alexis Knapp</t>
  </si>
  <si>
    <t>Pitch Perfect 2</t>
  </si>
  <si>
    <t>Hailee Steinfeld</t>
  </si>
  <si>
    <t>Brittany Snow</t>
  </si>
  <si>
    <t>Skylar Astin</t>
  </si>
  <si>
    <t>Pixels</t>
  </si>
  <si>
    <t>Chris Columbus</t>
  </si>
  <si>
    <t>Peter Dinklage</t>
  </si>
  <si>
    <t>Michelle Monaghan</t>
  </si>
  <si>
    <t>Point Break</t>
  </si>
  <si>
    <t>Ericson Core</t>
  </si>
  <si>
    <t>Edgar Ramirez</t>
  </si>
  <si>
    <t>Luke Bracey</t>
  </si>
  <si>
    <t>Polis Evo</t>
  </si>
  <si>
    <t>Ghaz Abu Bakar</t>
  </si>
  <si>
    <t>Shaheizy Sam</t>
  </si>
  <si>
    <t>Zizan Razak</t>
  </si>
  <si>
    <t>Nora Danish</t>
  </si>
  <si>
    <t>Mimie Ernida</t>
  </si>
  <si>
    <t>Wan Hanafi Su</t>
  </si>
  <si>
    <t>Poltergeist</t>
  </si>
  <si>
    <t>Gil Kenan</t>
  </si>
  <si>
    <t>Sam Rockwell</t>
  </si>
  <si>
    <t>Jared Harris</t>
  </si>
  <si>
    <t>Saxon Sharbino</t>
  </si>
  <si>
    <t>Kyle Catlett</t>
  </si>
  <si>
    <t>Pompeii</t>
  </si>
  <si>
    <t>Paul W. S. Anderson</t>
  </si>
  <si>
    <t>Kit Harington</t>
  </si>
  <si>
    <t>Emily Browning</t>
  </si>
  <si>
    <t>Kiefer Sutherland</t>
  </si>
  <si>
    <t>Carrie-Anne Moss</t>
  </si>
  <si>
    <t>Popstar: Never Stop Never Stopping</t>
  </si>
  <si>
    <t>Jorma Taccone</t>
  </si>
  <si>
    <t>Akiva Schaffer</t>
  </si>
  <si>
    <t>Andy Samberg (screenplay)</t>
  </si>
  <si>
    <t>Premium Rush</t>
  </si>
  <si>
    <t>Dania Ramirez</t>
  </si>
  <si>
    <t>Wole Parks</t>
  </si>
  <si>
    <t>Jamie Chung</t>
  </si>
  <si>
    <t>Pride and Prejudice and Zombies</t>
  </si>
  <si>
    <t>Burr Steers</t>
  </si>
  <si>
    <t>Lily James</t>
  </si>
  <si>
    <t>Sam Riley</t>
  </si>
  <si>
    <t>Matt Smith</t>
  </si>
  <si>
    <t>Prisoners</t>
  </si>
  <si>
    <t>Denis Villeneuve</t>
  </si>
  <si>
    <t>Melissa Leo</t>
  </si>
  <si>
    <t>Project Almanac</t>
  </si>
  <si>
    <t>Dean Israelite</t>
  </si>
  <si>
    <t>Sofia Black-D'Elia</t>
  </si>
  <si>
    <t>Project X</t>
  </si>
  <si>
    <t>Oliver Cooper</t>
  </si>
  <si>
    <t>Jonathan Daniel Brown</t>
  </si>
  <si>
    <t>Kirby Bliss Blanton</t>
  </si>
  <si>
    <t>Prometheus</t>
  </si>
  <si>
    <t>Ridley Scott</t>
  </si>
  <si>
    <t>Michael Fassbender</t>
  </si>
  <si>
    <t>Promised Land</t>
  </si>
  <si>
    <t>Gus Van Sant</t>
  </si>
  <si>
    <t>Frances McDormand</t>
  </si>
  <si>
    <t>R.I.P.D.</t>
  </si>
  <si>
    <t>Robert Schwentke</t>
  </si>
  <si>
    <t>Jeff Bridges</t>
  </si>
  <si>
    <t>Kevin Bacon</t>
  </si>
  <si>
    <t>Stephanie Szostak</t>
  </si>
  <si>
    <t>Mary-Louise Parker</t>
  </si>
  <si>
    <t>Race</t>
  </si>
  <si>
    <t>Stephen Hopkins</t>
  </si>
  <si>
    <t>Stephan James</t>
  </si>
  <si>
    <t>William Hurt</t>
  </si>
  <si>
    <t>Carice van Houten</t>
  </si>
  <si>
    <t>Raiders of the Lost Ark: The IMAX Experience</t>
  </si>
  <si>
    <t>John Rhys-Davies</t>
  </si>
  <si>
    <t>Karen Allen</t>
  </si>
  <si>
    <t>Paul Freeman</t>
  </si>
  <si>
    <t>Alfred Molina</t>
  </si>
  <si>
    <t>Rams</t>
  </si>
  <si>
    <t>Grímur Hákonarson</t>
  </si>
  <si>
    <t>Sigurður Sigurjónsson</t>
  </si>
  <si>
    <t>Ratchet &amp; Clank</t>
  </si>
  <si>
    <t>Jerrica Cleland</t>
  </si>
  <si>
    <t>Kevin Munroe</t>
  </si>
  <si>
    <t>Paul Giamatti</t>
  </si>
  <si>
    <t>James Arnold Taylor</t>
  </si>
  <si>
    <t>RED 2</t>
  </si>
  <si>
    <t>Dean Parisot</t>
  </si>
  <si>
    <t>Catherine Zeta-Jones</t>
  </si>
  <si>
    <t>Red Dawn</t>
  </si>
  <si>
    <t>Dan Bradley</t>
  </si>
  <si>
    <t>Will Yun Lee</t>
  </si>
  <si>
    <t>Adrianne Palicki</t>
  </si>
  <si>
    <t>Red Tails</t>
  </si>
  <si>
    <t>Anthony Hemingway</t>
  </si>
  <si>
    <t>Cuba Gooding Jr.</t>
  </si>
  <si>
    <t>Daniela Ruah</t>
  </si>
  <si>
    <t>Resident Evil: Retribution</t>
  </si>
  <si>
    <t>Milla Jovovich</t>
  </si>
  <si>
    <t>Sienna Guillory</t>
  </si>
  <si>
    <t>Colin Salmon</t>
  </si>
  <si>
    <t>Boris Kodjoe</t>
  </si>
  <si>
    <t>Ricki and the Flash</t>
  </si>
  <si>
    <t>Jonathan Demme</t>
  </si>
  <si>
    <t>Kevin Kline</t>
  </si>
  <si>
    <t>Mamie Gummer</t>
  </si>
  <si>
    <t>Audra McDonald</t>
  </si>
  <si>
    <t>Riddick</t>
  </si>
  <si>
    <t>David Twohy</t>
  </si>
  <si>
    <t>Karl Urban</t>
  </si>
  <si>
    <t>Katee Sackhoff</t>
  </si>
  <si>
    <t>Dave Bautista</t>
  </si>
  <si>
    <t>Matthew Nable</t>
  </si>
  <si>
    <t>Ride Along</t>
  </si>
  <si>
    <t>Tim Story</t>
  </si>
  <si>
    <t>Bruce McGill</t>
  </si>
  <si>
    <t>Ride Along 2</t>
  </si>
  <si>
    <t>Benjamin Bratt</t>
  </si>
  <si>
    <t>Rio 2</t>
  </si>
  <si>
    <t>Carlos Saldanha</t>
  </si>
  <si>
    <t>Leslie Mann</t>
  </si>
  <si>
    <t>Bruno Mars</t>
  </si>
  <si>
    <t>Rise of the Guardians</t>
  </si>
  <si>
    <t>Peter Ramsey</t>
  </si>
  <si>
    <t>Jude Law</t>
  </si>
  <si>
    <t>Risen</t>
  </si>
  <si>
    <t>Kevin Reynolds</t>
  </si>
  <si>
    <t>Joseph Fiennes</t>
  </si>
  <si>
    <t>Tom Felton</t>
  </si>
  <si>
    <t>RoboCop</t>
  </si>
  <si>
    <t>José Padilha</t>
  </si>
  <si>
    <t>Robot &amp; Frank</t>
  </si>
  <si>
    <t>James Marsden</t>
  </si>
  <si>
    <t>Liv Tyler</t>
  </si>
  <si>
    <t>Rock of Ages</t>
  </si>
  <si>
    <t>Adam Shankman</t>
  </si>
  <si>
    <t>Julianne Hough</t>
  </si>
  <si>
    <t>Diego Boneta</t>
  </si>
  <si>
    <t>Russell Brand</t>
  </si>
  <si>
    <t>Rock the Kasbah</t>
  </si>
  <si>
    <t>Barry Levinson</t>
  </si>
  <si>
    <t>Scott Caan</t>
  </si>
  <si>
    <t>Zooey Deschanel</t>
  </si>
  <si>
    <t>Romeo and Juliet</t>
  </si>
  <si>
    <t>Carlo Carlei</t>
  </si>
  <si>
    <t>Douglas Booth</t>
  </si>
  <si>
    <t>Damian Lewis</t>
  </si>
  <si>
    <t>Natascha McElhone</t>
  </si>
  <si>
    <t>Lesley Manville</t>
  </si>
  <si>
    <t>Room</t>
  </si>
  <si>
    <t>Lenny Abrahamson</t>
  </si>
  <si>
    <t>Joan Allen</t>
  </si>
  <si>
    <t>William H. Macy</t>
  </si>
  <si>
    <t>Sean Bridgers</t>
  </si>
  <si>
    <t>Jacob Tremblay</t>
  </si>
  <si>
    <t>Run All Night</t>
  </si>
  <si>
    <t>Runner, Runner</t>
  </si>
  <si>
    <t>Brad Furman</t>
  </si>
  <si>
    <t>Justin Timberlake</t>
  </si>
  <si>
    <t>Rush</t>
  </si>
  <si>
    <t>Daniel Bruhl</t>
  </si>
  <si>
    <t>Alexandra Maria Lara</t>
  </si>
  <si>
    <t>Sabotage</t>
  </si>
  <si>
    <t>Arnold Schwarzenegger</t>
  </si>
  <si>
    <t>Joe Manganiello</t>
  </si>
  <si>
    <t>Olivia Williams</t>
  </si>
  <si>
    <t>Safe House</t>
  </si>
  <si>
    <t>Liam Cunningham</t>
  </si>
  <si>
    <t>Salmon Fishing in the Yemen</t>
  </si>
  <si>
    <t>Lasse Hallström</t>
  </si>
  <si>
    <t>Kristin Scott Thomas</t>
  </si>
  <si>
    <t>Amr Waked</t>
  </si>
  <si>
    <t>Savages</t>
  </si>
  <si>
    <t>Oliver Stone</t>
  </si>
  <si>
    <t>Blake Lively</t>
  </si>
  <si>
    <t>Aaron Johnson</t>
  </si>
  <si>
    <t>John Travolta</t>
  </si>
  <si>
    <t>Benicio del Toro</t>
  </si>
  <si>
    <t>Scary Movie 5</t>
  </si>
  <si>
    <t>Ashley Tisdale</t>
  </si>
  <si>
    <t>Simon Rex</t>
  </si>
  <si>
    <t>Lindsay Lohan</t>
  </si>
  <si>
    <t>Charlie Sheen</t>
  </si>
  <si>
    <t>Secret in Their Eyes</t>
  </si>
  <si>
    <t>Billy Ray</t>
  </si>
  <si>
    <t>Chiwetel Ejiofor</t>
  </si>
  <si>
    <t>Dean Norris</t>
  </si>
  <si>
    <t>Self/less</t>
  </si>
  <si>
    <t>Ben Kingsley</t>
  </si>
  <si>
    <t>Natalie Martinez</t>
  </si>
  <si>
    <t>Matthew Goode</t>
  </si>
  <si>
    <t>Selma</t>
  </si>
  <si>
    <t>Ava DuVernay</t>
  </si>
  <si>
    <t>Tom Wilkinson</t>
  </si>
  <si>
    <t>Common</t>
  </si>
  <si>
    <t>Carmen Ejogo</t>
  </si>
  <si>
    <t>Seventh Son</t>
  </si>
  <si>
    <t>Sergei Bodrov</t>
  </si>
  <si>
    <t>Sergei Bodrov (director) Ben Barnes</t>
  </si>
  <si>
    <t>Shaun the Sheep Movie</t>
  </si>
  <si>
    <t>Mark Burton</t>
  </si>
  <si>
    <t>Justin Fletcher</t>
  </si>
  <si>
    <t>John Sparkes</t>
  </si>
  <si>
    <t>Sicario</t>
  </si>
  <si>
    <t>Side Effects</t>
  </si>
  <si>
    <t>Steven Soderbergh</t>
  </si>
  <si>
    <t>Vinessa Shaw</t>
  </si>
  <si>
    <t>Silent Hill: Revelation 3D</t>
  </si>
  <si>
    <t>Michael J. Bassett</t>
  </si>
  <si>
    <t>Sean Bean</t>
  </si>
  <si>
    <t>Radha Mitchell</t>
  </si>
  <si>
    <t>Silver Linings Playbook</t>
  </si>
  <si>
    <t>Brea Bee</t>
  </si>
  <si>
    <t>Sin City: A Dame to Kill For</t>
  </si>
  <si>
    <t>Frank Miller</t>
  </si>
  <si>
    <t>Robert Rodriguez</t>
  </si>
  <si>
    <t>Powers Boothe</t>
  </si>
  <si>
    <t>Sinister</t>
  </si>
  <si>
    <t>Juliet Rylance</t>
  </si>
  <si>
    <t>Fred Thompson</t>
  </si>
  <si>
    <t>Vincent D'Onofrio</t>
  </si>
  <si>
    <t>Sinister 2</t>
  </si>
  <si>
    <t>Ciaran Foy</t>
  </si>
  <si>
    <t>James Ransone</t>
  </si>
  <si>
    <t>Shannyn Sossamon</t>
  </si>
  <si>
    <t>Sisters</t>
  </si>
  <si>
    <t>Amy Poehler</t>
  </si>
  <si>
    <t>Tina Fey</t>
  </si>
  <si>
    <t>John Cena</t>
  </si>
  <si>
    <t>Snitch</t>
  </si>
  <si>
    <t>Ric Roman Waugh</t>
  </si>
  <si>
    <t>Snow White and the Huntsman</t>
  </si>
  <si>
    <t>Rupert Sanders</t>
  </si>
  <si>
    <t>Sam Spruell</t>
  </si>
  <si>
    <t>Ian McShane</t>
  </si>
  <si>
    <t>Son of God</t>
  </si>
  <si>
    <t>Christopher Spencer</t>
  </si>
  <si>
    <t>Diogo Morgado</t>
  </si>
  <si>
    <t>Roma Downey</t>
  </si>
  <si>
    <t>Darwin Shaw</t>
  </si>
  <si>
    <t>Son of Saul</t>
  </si>
  <si>
    <t>László Nemes</t>
  </si>
  <si>
    <t>Géza Röhrig</t>
  </si>
  <si>
    <t>Southpaw</t>
  </si>
  <si>
    <t>Naomie Harris</t>
  </si>
  <si>
    <t>Forest Whitaker</t>
  </si>
  <si>
    <t>Victor Ortiz</t>
  </si>
  <si>
    <t>Spotlight</t>
  </si>
  <si>
    <t>Tom McCarthy</t>
  </si>
  <si>
    <t>John Slattery</t>
  </si>
  <si>
    <t>Spy</t>
  </si>
  <si>
    <t>Miranda Hart</t>
  </si>
  <si>
    <t>St. Vincent</t>
  </si>
  <si>
    <t>Theodore Melfi</t>
  </si>
  <si>
    <t>Naomi Watts</t>
  </si>
  <si>
    <t>Chris O'Dowd</t>
  </si>
  <si>
    <t>Kimberly Quinn</t>
  </si>
  <si>
    <t>Stand by Me Doraemon</t>
  </si>
  <si>
    <t>Takashi Yamazaki</t>
  </si>
  <si>
    <t>Ryuichi Yagi</t>
  </si>
  <si>
    <t>Wasabi Mizuta</t>
  </si>
  <si>
    <t>Megumi Ohara</t>
  </si>
  <si>
    <t>Yumi Kakazu</t>
  </si>
  <si>
    <t>Tomokazu Seki</t>
  </si>
  <si>
    <t>Subaru Kimura</t>
  </si>
  <si>
    <t>Star Trek Beyond</t>
  </si>
  <si>
    <t>Zoe Saldana</t>
  </si>
  <si>
    <t>Step Up: All In</t>
  </si>
  <si>
    <t>Trish Sie</t>
  </si>
  <si>
    <t>Briana Evigan</t>
  </si>
  <si>
    <t>Alyson Stoner</t>
  </si>
  <si>
    <t>Adam Sevani</t>
  </si>
  <si>
    <t>Mari Koda</t>
  </si>
  <si>
    <t>Steve Jobs</t>
  </si>
  <si>
    <t>Danny Boyle</t>
  </si>
  <si>
    <t>Katherine Waterston</t>
  </si>
  <si>
    <t>Straight Outta Compton</t>
  </si>
  <si>
    <t>F. Gary Gray</t>
  </si>
  <si>
    <t>O'Shea Jackson</t>
  </si>
  <si>
    <t>Corey Hawkins</t>
  </si>
  <si>
    <t>Jason Mitchell</t>
  </si>
  <si>
    <t>Aldis Hodge</t>
  </si>
  <si>
    <t>Suffragette</t>
  </si>
  <si>
    <t>Sarah Gavron</t>
  </si>
  <si>
    <t>Carey Mulligan</t>
  </si>
  <si>
    <t>Brendan Gleeson</t>
  </si>
  <si>
    <t>Suicide Squad</t>
  </si>
  <si>
    <t>Jared Leto</t>
  </si>
  <si>
    <t>Margot Robbie</t>
  </si>
  <si>
    <t>Taken 2</t>
  </si>
  <si>
    <t>Olivier Megaton</t>
  </si>
  <si>
    <t>Rade Sherbedgia</t>
  </si>
  <si>
    <t>Tammy</t>
  </si>
  <si>
    <t>Sandra Oh</t>
  </si>
  <si>
    <t>Ted</t>
  </si>
  <si>
    <t>Seth MacFarlane</t>
  </si>
  <si>
    <t>Giovanni Ribisi</t>
  </si>
  <si>
    <t>Ted 2</t>
  </si>
  <si>
    <t>Alec Sulkin</t>
  </si>
  <si>
    <t>Wellesley Wild(screenplay) Mark Wahlberg</t>
  </si>
  <si>
    <t>Teenage Mutant Ninja Turtles</t>
  </si>
  <si>
    <t>Jonathan Liebesman</t>
  </si>
  <si>
    <t>Megan Fox</t>
  </si>
  <si>
    <t>Johnny Knoxville</t>
  </si>
  <si>
    <t>Alan Ritchson</t>
  </si>
  <si>
    <t>Noel Fisher</t>
  </si>
  <si>
    <t>Jeremy Howard</t>
  </si>
  <si>
    <t>Teenage Mutant Ninja Turtles: Out of the Shadows</t>
  </si>
  <si>
    <t>Stephen Amell</t>
  </si>
  <si>
    <t>Will Arnett</t>
  </si>
  <si>
    <t>Laura Linney</t>
  </si>
  <si>
    <t>Brian Tee</t>
  </si>
  <si>
    <t>Terminator Genisys</t>
  </si>
  <si>
    <t>Alan Taylor</t>
  </si>
  <si>
    <t>J. K. Simmons</t>
  </si>
  <si>
    <t>Texas Chainsaw 3D</t>
  </si>
  <si>
    <t>John Luessenhop</t>
  </si>
  <si>
    <t>Dan Yeager</t>
  </si>
  <si>
    <t>Trey Songz</t>
  </si>
  <si>
    <t>Scott Eastwood</t>
  </si>
  <si>
    <t>Tania Raymonde</t>
  </si>
  <si>
    <t>That Awkward Moment</t>
  </si>
  <si>
    <t>Tom Gormican</t>
  </si>
  <si>
    <t>The 33</t>
  </si>
  <si>
    <t>Antonio Banderas</t>
  </si>
  <si>
    <t>James Brolin</t>
  </si>
  <si>
    <t>Lou Diamond Phillips</t>
  </si>
  <si>
    <t>The 5th Wave</t>
  </si>
  <si>
    <t>J Blakeson</t>
  </si>
  <si>
    <t>Nick Robinson</t>
  </si>
  <si>
    <t>Alex Roe</t>
  </si>
  <si>
    <t>Maika Monroe</t>
  </si>
  <si>
    <t>The Age of Adaline</t>
  </si>
  <si>
    <t>Lee Toland Krieger</t>
  </si>
  <si>
    <t>Michiel Huisman</t>
  </si>
  <si>
    <t>Ellen Burstyn</t>
  </si>
  <si>
    <t>Amanda Crew</t>
  </si>
  <si>
    <t>The Amazing Spider-Man</t>
  </si>
  <si>
    <t>Marc Webb</t>
  </si>
  <si>
    <t>Andrew Garfield</t>
  </si>
  <si>
    <t>Martin Sheen</t>
  </si>
  <si>
    <t>The Angry Birds Movie</t>
  </si>
  <si>
    <t>Clay Kaytis</t>
  </si>
  <si>
    <t>Fergal Reilly</t>
  </si>
  <si>
    <t>Danny McBride</t>
  </si>
  <si>
    <t>The Best Exotic Marigold Hotel ₪</t>
  </si>
  <si>
    <t>John Madden</t>
  </si>
  <si>
    <t>Judi Dench</t>
  </si>
  <si>
    <t>Bill Nighy</t>
  </si>
  <si>
    <t>Maggie Smith</t>
  </si>
  <si>
    <t>The Big Short</t>
  </si>
  <si>
    <t>Adam McKay</t>
  </si>
  <si>
    <t>Religious Bale</t>
  </si>
  <si>
    <t>The Bling Ring</t>
  </si>
  <si>
    <t>Sofia Coppola</t>
  </si>
  <si>
    <t>Israel Broussard</t>
  </si>
  <si>
    <t>Katie Chang</t>
  </si>
  <si>
    <t>Claire Julien</t>
  </si>
  <si>
    <t>Taissa Farmiga</t>
  </si>
  <si>
    <t>The Book of Life</t>
  </si>
  <si>
    <t>Jorge R. Gutierrez</t>
  </si>
  <si>
    <t>The Boss</t>
  </si>
  <si>
    <t>Tyler Labine</t>
  </si>
  <si>
    <t>The Bourne Legacy</t>
  </si>
  <si>
    <t>Tony Gilroy</t>
  </si>
  <si>
    <t>Rachel Weisz</t>
  </si>
  <si>
    <t>The Boxtrolls</t>
  </si>
  <si>
    <t>Anthony Stacchi</t>
  </si>
  <si>
    <t>Graham Annable</t>
  </si>
  <si>
    <t>Elle Fanning</t>
  </si>
  <si>
    <t>Isaac Hempstead-Wright</t>
  </si>
  <si>
    <t>The Boy</t>
  </si>
  <si>
    <t>William Brent Bell</t>
  </si>
  <si>
    <t>Lauren Cohan</t>
  </si>
  <si>
    <t>Rupert Evans</t>
  </si>
  <si>
    <t>Jim Norton</t>
  </si>
  <si>
    <t>Diana Hardcastle</t>
  </si>
  <si>
    <t>The Butler</t>
  </si>
  <si>
    <t>Lee Daniels</t>
  </si>
  <si>
    <t>Oprah Winfrey</t>
  </si>
  <si>
    <t>The Cabin in the Woods</t>
  </si>
  <si>
    <t>Drew Goddard</t>
  </si>
  <si>
    <t>Bradley Whitford</t>
  </si>
  <si>
    <t>Jesse Williams</t>
  </si>
  <si>
    <t>Kristen Connolly</t>
  </si>
  <si>
    <t>The Call</t>
  </si>
  <si>
    <t>Brad Anderson</t>
  </si>
  <si>
    <t>Abigail Breslin</t>
  </si>
  <si>
    <t>Halle Berry</t>
  </si>
  <si>
    <t>Morris Chestnut</t>
  </si>
  <si>
    <t>Michael Eklund</t>
  </si>
  <si>
    <t>Michael Imperioli</t>
  </si>
  <si>
    <t>The Campaign</t>
  </si>
  <si>
    <t>Jay Roach</t>
  </si>
  <si>
    <t>Zach Galifianakis</t>
  </si>
  <si>
    <t>Katherine LaNasa</t>
  </si>
  <si>
    <t>The Cold Light of Day</t>
  </si>
  <si>
    <t>Mabrouk El Mechri</t>
  </si>
  <si>
    <t>Sigourney Weaver</t>
  </si>
  <si>
    <t>Veronica Echegui</t>
  </si>
  <si>
    <t>Roschoy Zem</t>
  </si>
  <si>
    <t>The Collection</t>
  </si>
  <si>
    <t>Marcus Dunstan</t>
  </si>
  <si>
    <t>Josh Stewart</t>
  </si>
  <si>
    <t>Emma Fitzpatrick</t>
  </si>
  <si>
    <t>The Conjuring</t>
  </si>
  <si>
    <t>Vera Farmiga</t>
  </si>
  <si>
    <t>Ron Livingston</t>
  </si>
  <si>
    <t>Lili Taylor</t>
  </si>
  <si>
    <t>Shannon Kook</t>
  </si>
  <si>
    <t>The Conjuring 2</t>
  </si>
  <si>
    <t>The Croods</t>
  </si>
  <si>
    <t>Chris Sanders</t>
  </si>
  <si>
    <t>Kirk DeMicco</t>
  </si>
  <si>
    <t>The Danish Girl</t>
  </si>
  <si>
    <t>Matthias Schoenaerts</t>
  </si>
  <si>
    <t>The Darkness</t>
  </si>
  <si>
    <t>Greg McLean</t>
  </si>
  <si>
    <t>David Mazouz</t>
  </si>
  <si>
    <t>Lucy Fry</t>
  </si>
  <si>
    <t>Matt Walsh</t>
  </si>
  <si>
    <t>The Devil Inside</t>
  </si>
  <si>
    <t>Suzan Crowley</t>
  </si>
  <si>
    <t>Fernanda Andrade</t>
  </si>
  <si>
    <t>Simon Quarterman</t>
  </si>
  <si>
    <t>Evan Helmuth</t>
  </si>
  <si>
    <t>The Dictator</t>
  </si>
  <si>
    <t>Larry Charles</t>
  </si>
  <si>
    <t>John C. Reilly</t>
  </si>
  <si>
    <t>The Divergent Series: Allegiant</t>
  </si>
  <si>
    <t>The Divergent Series: Insurgent</t>
  </si>
  <si>
    <t>The Drop</t>
  </si>
  <si>
    <t>Michaël R. Roskam</t>
  </si>
  <si>
    <t>The Duff</t>
  </si>
  <si>
    <t>Ari Sandel</t>
  </si>
  <si>
    <t>Mae Whitman</t>
  </si>
  <si>
    <t>Bianca A. Santos</t>
  </si>
  <si>
    <t>The East</t>
  </si>
  <si>
    <t>Zal Batmanglij</t>
  </si>
  <si>
    <t>Brit Marling</t>
  </si>
  <si>
    <t>Alexander Skarsgard</t>
  </si>
  <si>
    <t>Ellen Page</t>
  </si>
  <si>
    <t>Julia Ormond</t>
  </si>
  <si>
    <t>The Equalizer</t>
  </si>
  <si>
    <t>Marton Csokas</t>
  </si>
  <si>
    <t>David Harbour</t>
  </si>
  <si>
    <t>The Expendables 2</t>
  </si>
  <si>
    <t>Simon West</t>
  </si>
  <si>
    <t>Dolph Lundgren</t>
  </si>
  <si>
    <t>Randy Couture</t>
  </si>
  <si>
    <t>The Expendables 3</t>
  </si>
  <si>
    <t>Patrick Hughes</t>
  </si>
  <si>
    <t>Mel Gibson</t>
  </si>
  <si>
    <t>The Family</t>
  </si>
  <si>
    <t>Dianna Agron</t>
  </si>
  <si>
    <t>Vincent Pastore</t>
  </si>
  <si>
    <t>The Fault in Our Stars</t>
  </si>
  <si>
    <t>Josh Boone</t>
  </si>
  <si>
    <t>The Five-Year Engagement</t>
  </si>
  <si>
    <t>Chris Pratt</t>
  </si>
  <si>
    <t>Rhys Ifans</t>
  </si>
  <si>
    <t>The Forest</t>
  </si>
  <si>
    <t>Jason Zada</t>
  </si>
  <si>
    <t>Natalie Dormer</t>
  </si>
  <si>
    <t>Taylor Kinney</t>
  </si>
  <si>
    <t>The Gift</t>
  </si>
  <si>
    <t>Rebecca Hall</t>
  </si>
  <si>
    <t>The Giver</t>
  </si>
  <si>
    <t>Phillip Noyce</t>
  </si>
  <si>
    <t>Katie Holmes</t>
  </si>
  <si>
    <t>The Grand Budapest Hotel</t>
  </si>
  <si>
    <t>Tony Revolori</t>
  </si>
  <si>
    <t>F. Murray Abraham</t>
  </si>
  <si>
    <t>Mathieu Amalric</t>
  </si>
  <si>
    <t>The Great Gatsby</t>
  </si>
  <si>
    <t>Baz Luhrmann</t>
  </si>
  <si>
    <t>The Grey</t>
  </si>
  <si>
    <t>Joe Carnahan</t>
  </si>
  <si>
    <t>Dallas Roberts</t>
  </si>
  <si>
    <t>The Gunman</t>
  </si>
  <si>
    <t>Pierre Morel</t>
  </si>
  <si>
    <t>Javier Bardem</t>
  </si>
  <si>
    <t>The Hangover Part III</t>
  </si>
  <si>
    <t>Todd Phillips</t>
  </si>
  <si>
    <t>Justin Bartha</t>
  </si>
  <si>
    <t>The Hateful Eight</t>
  </si>
  <si>
    <t>Kurt Russell</t>
  </si>
  <si>
    <t>Jennifer Jason Leigh</t>
  </si>
  <si>
    <t>Walton Goggins</t>
  </si>
  <si>
    <t>Tim Roth</t>
  </si>
  <si>
    <t>The Heat</t>
  </si>
  <si>
    <t>Kaitlin Olson</t>
  </si>
  <si>
    <t>Demian Bichir</t>
  </si>
  <si>
    <t>The Hobbit: The Battle of the Five Armies</t>
  </si>
  <si>
    <t>Peter Jackson</t>
  </si>
  <si>
    <t>Ian McKellen</t>
  </si>
  <si>
    <t>Martin Freeman</t>
  </si>
  <si>
    <t>The Host</t>
  </si>
  <si>
    <t>Andrew Niccol</t>
  </si>
  <si>
    <t>Max Irons</t>
  </si>
  <si>
    <t>Jake Abel</t>
  </si>
  <si>
    <t>Diane Kruger</t>
  </si>
  <si>
    <t>The Hundred-Foot Journey</t>
  </si>
  <si>
    <t>Manish Dayal</t>
  </si>
  <si>
    <t>The Hunger Games</t>
  </si>
  <si>
    <t>Wes Bentley</t>
  </si>
  <si>
    <t>The Hunger Games: Mockingjay – Part 1</t>
  </si>
  <si>
    <t>Francis Lawrence</t>
  </si>
  <si>
    <t>Donald Sutherland</t>
  </si>
  <si>
    <t>The Hunger Games: Mockingjay – Part 2</t>
  </si>
  <si>
    <t>The Huntsman: Winter's War</t>
  </si>
  <si>
    <t>Cedric Nicolas-Troyan</t>
  </si>
  <si>
    <t>Nick Frost</t>
  </si>
  <si>
    <t>The Iceman</t>
  </si>
  <si>
    <t>Morgan Land (screenplay)</t>
  </si>
  <si>
    <t>Winona Ryder</t>
  </si>
  <si>
    <t>The Identical</t>
  </si>
  <si>
    <t>Dustin Marcellino</t>
  </si>
  <si>
    <t>Ashley Judd</t>
  </si>
  <si>
    <t>Seth Green</t>
  </si>
  <si>
    <t>Joe Pantoliano</t>
  </si>
  <si>
    <t>The Imitation Game</t>
  </si>
  <si>
    <t>Morten Tyldum</t>
  </si>
  <si>
    <t>Keira Knightley</t>
  </si>
  <si>
    <t>Rory Kinnear</t>
  </si>
  <si>
    <t>Allen Leech</t>
  </si>
  <si>
    <t>The Impossible</t>
  </si>
  <si>
    <t>Juan Antonio Bayona</t>
  </si>
  <si>
    <t>The Incredible Burt Wonderstone</t>
  </si>
  <si>
    <t>Don Scardino</t>
  </si>
  <si>
    <t>The Infiltrator</t>
  </si>
  <si>
    <t>The Intern</t>
  </si>
  <si>
    <t>Nancy Meyers</t>
  </si>
  <si>
    <t>Anders Holm</t>
  </si>
  <si>
    <t>The Internship</t>
  </si>
  <si>
    <t>Vince Vaughn</t>
  </si>
  <si>
    <t>Jessica Szohr</t>
  </si>
  <si>
    <t>The Interview</t>
  </si>
  <si>
    <t>Evan Goldberg</t>
  </si>
  <si>
    <t>James Franco</t>
  </si>
  <si>
    <t>The Judge</t>
  </si>
  <si>
    <t>David Dobkin</t>
  </si>
  <si>
    <t>Robert Duvall</t>
  </si>
  <si>
    <t>The Lady in the Van</t>
  </si>
  <si>
    <t>Nicholas Hytner</t>
  </si>
  <si>
    <t>Alex Jennings</t>
  </si>
  <si>
    <t>Frances de la Tour</t>
  </si>
  <si>
    <t>Roger Allam</t>
  </si>
  <si>
    <t>The Last Exorcism Part II</t>
  </si>
  <si>
    <t>Ed Gass-Donnelly</t>
  </si>
  <si>
    <t>Ashley Bell</t>
  </si>
  <si>
    <t>Spencer Treat Clark</t>
  </si>
  <si>
    <t>Muse Watson</t>
  </si>
  <si>
    <t>Louis Herthum</t>
  </si>
  <si>
    <t>Judd Lormand</t>
  </si>
  <si>
    <t>The Last Stand</t>
  </si>
  <si>
    <t>Kim Ji-woon</t>
  </si>
  <si>
    <t>Jaimie Alexander</t>
  </si>
  <si>
    <t>The Last Witch Hunter</t>
  </si>
  <si>
    <t>Breck Eisner</t>
  </si>
  <si>
    <t>Rose Leslie</t>
  </si>
  <si>
    <t>Elijah Wood</t>
  </si>
  <si>
    <t>The Lazarus Effect</t>
  </si>
  <si>
    <t>David Gelb</t>
  </si>
  <si>
    <t>Donald Glover</t>
  </si>
  <si>
    <t>The Legend of Hercules</t>
  </si>
  <si>
    <t>Renny Harlin</t>
  </si>
  <si>
    <t>Kellan Lutz</t>
  </si>
  <si>
    <t>Gaia Weiss</t>
  </si>
  <si>
    <t>Scott Adkins</t>
  </si>
  <si>
    <t>Roxanne McKee</t>
  </si>
  <si>
    <t>Liam Garrigan</t>
  </si>
  <si>
    <t>The Legend of Tarzan</t>
  </si>
  <si>
    <t>David Yates</t>
  </si>
  <si>
    <t>Djimon Hounsou</t>
  </si>
  <si>
    <t>The Lego Movie</t>
  </si>
  <si>
    <t>The Letters</t>
  </si>
  <si>
    <t>William Riead</t>
  </si>
  <si>
    <t>Juliet Stevenson</t>
  </si>
  <si>
    <t>Max von Sydow</t>
  </si>
  <si>
    <t>Rutger Hauer</t>
  </si>
  <si>
    <t>Priya Darshini</t>
  </si>
  <si>
    <t>The Lucky One</t>
  </si>
  <si>
    <t>Scott Hicks</t>
  </si>
  <si>
    <t>Taylor Schilling</t>
  </si>
  <si>
    <t>Jay R. Ferguson</t>
  </si>
  <si>
    <t>Riley Thomas Stewart</t>
  </si>
  <si>
    <t>Adam Lefevre</t>
  </si>
  <si>
    <t>The Man from U.N.C.L.E.</t>
  </si>
  <si>
    <t>Guy Ritchie</t>
  </si>
  <si>
    <t>Elizabeth Debicki</t>
  </si>
  <si>
    <t>The Man with the Iron Fists</t>
  </si>
  <si>
    <t>Lucy Liu</t>
  </si>
  <si>
    <t>David Bautista</t>
  </si>
  <si>
    <t>Byron Mann</t>
  </si>
  <si>
    <t>The Martian</t>
  </si>
  <si>
    <t>The Master</t>
  </si>
  <si>
    <t>Paul Thomas Anderson</t>
  </si>
  <si>
    <t>Jesse Plemons</t>
  </si>
  <si>
    <t>David Warshofsky</t>
  </si>
  <si>
    <t>The Maze Runner</t>
  </si>
  <si>
    <t>Will Poulter</t>
  </si>
  <si>
    <t>Aml Ameen</t>
  </si>
  <si>
    <t>The Mermaid</t>
  </si>
  <si>
    <t>Stephen Chow</t>
  </si>
  <si>
    <t>Deng Chao</t>
  </si>
  <si>
    <t>Lin Yun</t>
  </si>
  <si>
    <t>Show Luo</t>
  </si>
  <si>
    <t>Zhang Yuqi</t>
  </si>
  <si>
    <t>Kris Wu</t>
  </si>
  <si>
    <t>The Monuments Men</t>
  </si>
  <si>
    <t>Jean Dujardin</t>
  </si>
  <si>
    <t>The Mortal Instruments: City of Bones</t>
  </si>
  <si>
    <t>Harald Zwart</t>
  </si>
  <si>
    <t>Jamie Campbell Bower</t>
  </si>
  <si>
    <t>Robert Sheehan</t>
  </si>
  <si>
    <t>Jemima West</t>
  </si>
  <si>
    <t>Kevin Durand</t>
  </si>
  <si>
    <t>The Night Before</t>
  </si>
  <si>
    <t>Jonathan Levine</t>
  </si>
  <si>
    <t>The November Man</t>
  </si>
  <si>
    <t>Roger Donaldson</t>
  </si>
  <si>
    <t>Bill Smitrovich</t>
  </si>
  <si>
    <t>Will Patton</t>
  </si>
  <si>
    <t>The Nut Job</t>
  </si>
  <si>
    <t>Peter Lepeniotis</t>
  </si>
  <si>
    <t>The Oogieloves in the Big Balloon Adventure</t>
  </si>
  <si>
    <t>Matthew Diamond</t>
  </si>
  <si>
    <t>Toni Braxton</t>
  </si>
  <si>
    <t>Cloris Leachman</t>
  </si>
  <si>
    <t>Christopher Lloyd</t>
  </si>
  <si>
    <t>Chazz Palminteri</t>
  </si>
  <si>
    <t>Cary Elwes</t>
  </si>
  <si>
    <t>The Other Woman</t>
  </si>
  <si>
    <t>Nick Cassavetes</t>
  </si>
  <si>
    <t>Kate Upton</t>
  </si>
  <si>
    <t>The Peanuts Movie</t>
  </si>
  <si>
    <t>Bill Melendez</t>
  </si>
  <si>
    <t>Noah Schnapp</t>
  </si>
  <si>
    <t>Hadley Belle Miller</t>
  </si>
  <si>
    <t>AJ Teece</t>
  </si>
  <si>
    <t>Noah Johnston</t>
  </si>
  <si>
    <t>The Perfect Guy</t>
  </si>
  <si>
    <t>David M. Rosenthal</t>
  </si>
  <si>
    <t>Sanaa Lathan</t>
  </si>
  <si>
    <t>Michael Ealy</t>
  </si>
  <si>
    <t>The Perfect Match</t>
  </si>
  <si>
    <t>Bille Woodruff</t>
  </si>
  <si>
    <t>Terrence J</t>
  </si>
  <si>
    <t>Cassie Ventura</t>
  </si>
  <si>
    <t>Donald Faison</t>
  </si>
  <si>
    <t>Dascha Polanco</t>
  </si>
  <si>
    <t>Robert Christopher Riley</t>
  </si>
  <si>
    <t>The Perks of Being a Wallflower</t>
  </si>
  <si>
    <t>Stephen Chbosky</t>
  </si>
  <si>
    <t>Nina Dobrev</t>
  </si>
  <si>
    <t>Johnny Simmons</t>
  </si>
  <si>
    <t>The Pirates! Band of Misfits</t>
  </si>
  <si>
    <t>Peter Lord</t>
  </si>
  <si>
    <t>Jeff Newitt</t>
  </si>
  <si>
    <t>Imelda Staunton</t>
  </si>
  <si>
    <t>David Tennant</t>
  </si>
  <si>
    <t>The Place Beyond the Pines</t>
  </si>
  <si>
    <t>Derek Cianfrance</t>
  </si>
  <si>
    <t>Eva Mendes</t>
  </si>
  <si>
    <t>The Possession</t>
  </si>
  <si>
    <t>Ole Bornedal</t>
  </si>
  <si>
    <t>Jeffrey Dean Morgan</t>
  </si>
  <si>
    <t>The Purge</t>
  </si>
  <si>
    <t>James DeMonaco</t>
  </si>
  <si>
    <t>Max Burkholder</t>
  </si>
  <si>
    <t>Tony Oller</t>
  </si>
  <si>
    <t>The Purge: Election Year</t>
  </si>
  <si>
    <t>Betty Gabriel</t>
  </si>
  <si>
    <t>Kyle Secor</t>
  </si>
  <si>
    <t>Joseph Julian Soria</t>
  </si>
  <si>
    <t>The Raid 2</t>
  </si>
  <si>
    <t>Gareth Evans</t>
  </si>
  <si>
    <t>Iko Uwais</t>
  </si>
  <si>
    <t>Tio Pakusadewo</t>
  </si>
  <si>
    <t>Arifin Putra</t>
  </si>
  <si>
    <t>Julie Estelle</t>
  </si>
  <si>
    <t>Alex Abbad</t>
  </si>
  <si>
    <t>The Raid: Redemption ₪</t>
  </si>
  <si>
    <t>Doni Alamsyah</t>
  </si>
  <si>
    <t>Joe Taslim</t>
  </si>
  <si>
    <t>Yayan Ruhian</t>
  </si>
  <si>
    <t>Ray Sahetapy</t>
  </si>
  <si>
    <t>The Raven</t>
  </si>
  <si>
    <t>James McTeigue</t>
  </si>
  <si>
    <t>Oliver Jackson-Cohen</t>
  </si>
  <si>
    <t>The Revenant</t>
  </si>
  <si>
    <t>Alejandro G. Iñárritu</t>
  </si>
  <si>
    <t>The Second Best Exotic Marigold Hotel</t>
  </si>
  <si>
    <t>Richard Gere</t>
  </si>
  <si>
    <t>Celia Imrie</t>
  </si>
  <si>
    <t>The Second Mother</t>
  </si>
  <si>
    <t>Anna Muylaert</t>
  </si>
  <si>
    <t>Regina Casé</t>
  </si>
  <si>
    <t>Michel Joelsas</t>
  </si>
  <si>
    <t>Camila Márdila</t>
  </si>
  <si>
    <t>The Secret Life of Pets</t>
  </si>
  <si>
    <t>Yarrow Cheney</t>
  </si>
  <si>
    <t>Eric Stonestreet</t>
  </si>
  <si>
    <t>Hannibal Buress</t>
  </si>
  <si>
    <t>The Secret World of Arrietty</t>
  </si>
  <si>
    <t>Gary Rydstrom</t>
  </si>
  <si>
    <t>Carol Burnett</t>
  </si>
  <si>
    <t>Bridgit Mendler</t>
  </si>
  <si>
    <t>The Shallows</t>
  </si>
  <si>
    <t>Óscar Jaenada</t>
  </si>
  <si>
    <t>The Signal</t>
  </si>
  <si>
    <t>William Eubank</t>
  </si>
  <si>
    <t>Sarah Clarke</t>
  </si>
  <si>
    <t>Laurence Fishburne</t>
  </si>
  <si>
    <t>The Single Moms Club</t>
  </si>
  <si>
    <t>Nia Long</t>
  </si>
  <si>
    <t>Wendi McLendon-Covey</t>
  </si>
  <si>
    <t>Zulay Henao</t>
  </si>
  <si>
    <t>Cocoa Brown</t>
  </si>
  <si>
    <t>The Smurfs 2</t>
  </si>
  <si>
    <t>Raja Gosnell</t>
  </si>
  <si>
    <t>Jayma Mays</t>
  </si>
  <si>
    <t>Hank Azaria</t>
  </si>
  <si>
    <t>Tim Gunn</t>
  </si>
  <si>
    <t>The Spectacular Now</t>
  </si>
  <si>
    <t>James Ponsoldt</t>
  </si>
  <si>
    <t>Kaitlyn Dever</t>
  </si>
  <si>
    <t>Dayo Okeniyi</t>
  </si>
  <si>
    <t>The SpongeBob Movie: Sponge Out of Water</t>
  </si>
  <si>
    <t>Paul Tibbitt</t>
  </si>
  <si>
    <t>Jonathan Aibel</t>
  </si>
  <si>
    <t>Paul Tibbitt (director)</t>
  </si>
  <si>
    <t>Glenn Berger(screenplay)</t>
  </si>
  <si>
    <t>Tom Kenny</t>
  </si>
  <si>
    <t>The Sweet Escape</t>
  </si>
  <si>
    <t>Bruno Podalydès</t>
  </si>
  <si>
    <t>Sandrine Kiberlain</t>
  </si>
  <si>
    <t>Agnès Jaoui</t>
  </si>
  <si>
    <t>Vimala Pons</t>
  </si>
  <si>
    <t>The Theory of Everything</t>
  </si>
  <si>
    <t>James Marsh</t>
  </si>
  <si>
    <t>Felicity Jones</t>
  </si>
  <si>
    <t>The Three Stooges</t>
  </si>
  <si>
    <t>Chris Diamantopoulos</t>
  </si>
  <si>
    <t>Sean Hayes</t>
  </si>
  <si>
    <t>Will Sasso</t>
  </si>
  <si>
    <t>Jane Lynch</t>
  </si>
  <si>
    <t>Larry David</t>
  </si>
  <si>
    <t>The Transporter Refueled</t>
  </si>
  <si>
    <t>Ray Stevenson</t>
  </si>
  <si>
    <t>Loan Chabanol</t>
  </si>
  <si>
    <t>Gabriella Wright</t>
  </si>
  <si>
    <t>The Twilight Saga: Breaking Dawn – Part 2</t>
  </si>
  <si>
    <t>Bill Condon</t>
  </si>
  <si>
    <t>Robert Pattinson</t>
  </si>
  <si>
    <t>Michael Sheen</t>
  </si>
  <si>
    <t>Mackenzie Foy</t>
  </si>
  <si>
    <t>Billy Burke</t>
  </si>
  <si>
    <t>The Vatican Tapes</t>
  </si>
  <si>
    <t>Kathleen Robertson</t>
  </si>
  <si>
    <t>Dougray Scott</t>
  </si>
  <si>
    <t>John Patrick Amedori</t>
  </si>
  <si>
    <t>The Visit</t>
  </si>
  <si>
    <t>Ed Oxenbould</t>
  </si>
  <si>
    <t>Deanna Dunagan</t>
  </si>
  <si>
    <t>Peter McRobbie</t>
  </si>
  <si>
    <t>Olivia DeJonge</t>
  </si>
  <si>
    <t>The Walk</t>
  </si>
  <si>
    <t>Charlotte Le Bon</t>
  </si>
  <si>
    <t>The Watch</t>
  </si>
  <si>
    <t>Richard Ayoade</t>
  </si>
  <si>
    <t>The Water Diviner</t>
  </si>
  <si>
    <t>Cem Yılmaz</t>
  </si>
  <si>
    <t>Miyavi</t>
  </si>
  <si>
    <t>Yılmaz Erdoğan</t>
  </si>
  <si>
    <t>The Way, Way Back</t>
  </si>
  <si>
    <t>Nat Faxon</t>
  </si>
  <si>
    <t>Jim Rash</t>
  </si>
  <si>
    <t>AnnaSophia Robb</t>
  </si>
  <si>
    <t>The Wedding Ringer</t>
  </si>
  <si>
    <t>Jeremy Garelick</t>
  </si>
  <si>
    <t>Kaley Cuoco</t>
  </si>
  <si>
    <t>Olivia Thirlby</t>
  </si>
  <si>
    <t>The Witch</t>
  </si>
  <si>
    <t>Robert Eggers</t>
  </si>
  <si>
    <t>Anya Taylor-Joy</t>
  </si>
  <si>
    <t>Ralph Ineson</t>
  </si>
  <si>
    <t>Kate Dickie</t>
  </si>
  <si>
    <t>The Wolverine</t>
  </si>
  <si>
    <t>James Mangold</t>
  </si>
  <si>
    <t>Hiroyuki Sanada</t>
  </si>
  <si>
    <t>Hal Yamanouchi</t>
  </si>
  <si>
    <t>Tao Okamoto</t>
  </si>
  <si>
    <t>The Woman in Black</t>
  </si>
  <si>
    <t>James Watkins</t>
  </si>
  <si>
    <t>Daniel Radcliffe</t>
  </si>
  <si>
    <t>Liz White</t>
  </si>
  <si>
    <t>Alisa Khazanova</t>
  </si>
  <si>
    <t>The Woman in Black: Angel of Death</t>
  </si>
  <si>
    <t>Tom Harper</t>
  </si>
  <si>
    <t>Phoebe Fox</t>
  </si>
  <si>
    <t>Jeremy Irvine</t>
  </si>
  <si>
    <t>Helen McCrory</t>
  </si>
  <si>
    <t>Adrian Rawlins</t>
  </si>
  <si>
    <t>Oaklee Pendergast</t>
  </si>
  <si>
    <t>The World's End</t>
  </si>
  <si>
    <t>Edgar Wright</t>
  </si>
  <si>
    <t>Paddy Considine</t>
  </si>
  <si>
    <t>Eddie Marsan</t>
  </si>
  <si>
    <t>The Young Messiah</t>
  </si>
  <si>
    <t>Cyrus Nowrasteh</t>
  </si>
  <si>
    <t>Adam Greaves-Neal</t>
  </si>
  <si>
    <t>Think Like a Man</t>
  </si>
  <si>
    <t>Meagan Good</t>
  </si>
  <si>
    <t>This Is the End</t>
  </si>
  <si>
    <t>Craig Robinson</t>
  </si>
  <si>
    <t>This Is Where I Leave You</t>
  </si>
  <si>
    <t>Jane Fonda</t>
  </si>
  <si>
    <t>This Means War</t>
  </si>
  <si>
    <t>McG</t>
  </si>
  <si>
    <t>Til Schweiger</t>
  </si>
  <si>
    <t>Top Five</t>
  </si>
  <si>
    <t>Genevieve Angelson</t>
  </si>
  <si>
    <t>Rachel Feinstein</t>
  </si>
  <si>
    <t>Dan Naturman</t>
  </si>
  <si>
    <t>Top Gun 3D</t>
  </si>
  <si>
    <t>Tony Scott</t>
  </si>
  <si>
    <t>Kelly McGillis</t>
  </si>
  <si>
    <t>Val Kilmer</t>
  </si>
  <si>
    <t>James Tolkan</t>
  </si>
  <si>
    <t>Tom Skerritt</t>
  </si>
  <si>
    <t>Total Recall</t>
  </si>
  <si>
    <t>Len Wiseman</t>
  </si>
  <si>
    <t>Jessica Biel</t>
  </si>
  <si>
    <t>Kate Beckinsale</t>
  </si>
  <si>
    <t>Trance</t>
  </si>
  <si>
    <t>James McAvoy</t>
  </si>
  <si>
    <t>Tuppence Middleton</t>
  </si>
  <si>
    <t>Lee Nicholas Harris</t>
  </si>
  <si>
    <t>Transcendence</t>
  </si>
  <si>
    <t>Wally Pfister</t>
  </si>
  <si>
    <t>Paul Bettany</t>
  </si>
  <si>
    <t>Triple 9</t>
  </si>
  <si>
    <t>John Hillcoat</t>
  </si>
  <si>
    <t>Trouble with the Curve</t>
  </si>
  <si>
    <t>Robert Lorenz</t>
  </si>
  <si>
    <t>Matthew Lillard</t>
  </si>
  <si>
    <t>Trumbo</t>
  </si>
  <si>
    <t>Truth</t>
  </si>
  <si>
    <t>James Vanderbilt</t>
  </si>
  <si>
    <t>Dennis Quaid</t>
  </si>
  <si>
    <t>Elisabeth Moss</t>
  </si>
  <si>
    <t>Turbo</t>
  </si>
  <si>
    <t>David Soren</t>
  </si>
  <si>
    <t>Tusk</t>
  </si>
  <si>
    <t>Kevin Smith</t>
  </si>
  <si>
    <t>Michael Parks</t>
  </si>
  <si>
    <t>Justin Long</t>
  </si>
  <si>
    <t>Haley Joel Osment</t>
  </si>
  <si>
    <t>Génesis Rodríguez</t>
  </si>
  <si>
    <t>Unbroken</t>
  </si>
  <si>
    <t>Unfinished Business</t>
  </si>
  <si>
    <t>Ken Scott</t>
  </si>
  <si>
    <t>Unfriended</t>
  </si>
  <si>
    <t>Levan Gabriadze</t>
  </si>
  <si>
    <t>Shelley Hennig</t>
  </si>
  <si>
    <t>Renee Olstead</t>
  </si>
  <si>
    <t>Jacob Wysocki</t>
  </si>
  <si>
    <t>Will Peltz</t>
  </si>
  <si>
    <t>Vacation</t>
  </si>
  <si>
    <t>John Francis Daley</t>
  </si>
  <si>
    <t>Jonathan Goldstein</t>
  </si>
  <si>
    <t>Vampire Academy</t>
  </si>
  <si>
    <t>Mark Waters</t>
  </si>
  <si>
    <t>Zoey Deutch</t>
  </si>
  <si>
    <t>Danila Kozlovsky</t>
  </si>
  <si>
    <t>Veronica Mars</t>
  </si>
  <si>
    <t>Rob Thomas</t>
  </si>
  <si>
    <t>Jason Dohring</t>
  </si>
  <si>
    <t>Ryan Hansen</t>
  </si>
  <si>
    <t>Francis Capra</t>
  </si>
  <si>
    <t>Victor Frankenstein</t>
  </si>
  <si>
    <t>Paul McGuigan</t>
  </si>
  <si>
    <t>Jessica Brown Findlay</t>
  </si>
  <si>
    <t>Andrew Scott</t>
  </si>
  <si>
    <t>Wanderlust</t>
  </si>
  <si>
    <t>David Wain</t>
  </si>
  <si>
    <t>Malin Akerman</t>
  </si>
  <si>
    <t>Justin Theroux</t>
  </si>
  <si>
    <t>Ken Marino</t>
  </si>
  <si>
    <t>War Dogs</t>
  </si>
  <si>
    <t>J. B. Blanc</t>
  </si>
  <si>
    <t>War Room</t>
  </si>
  <si>
    <t>Alex Kendrick</t>
  </si>
  <si>
    <t>Priscilla Shirer</t>
  </si>
  <si>
    <t>T.C. Stallings</t>
  </si>
  <si>
    <t>Beth Moore</t>
  </si>
  <si>
    <t>Karen Abercrombie</t>
  </si>
  <si>
    <t>Warcraft</t>
  </si>
  <si>
    <t>Duncan Jones</t>
  </si>
  <si>
    <t>Travis Fimmel</t>
  </si>
  <si>
    <t>Warm Bodies</t>
  </si>
  <si>
    <t>Analeigh Tipton</t>
  </si>
  <si>
    <t>What Maisie Knew</t>
  </si>
  <si>
    <t>Scott McGehee</t>
  </si>
  <si>
    <t>David Siegel</t>
  </si>
  <si>
    <t>Steve Coogan</t>
  </si>
  <si>
    <t>Joanna Vanderham</t>
  </si>
  <si>
    <t>Onata Aprile</t>
  </si>
  <si>
    <t>What to Expect When You're Expecting</t>
  </si>
  <si>
    <t>When the Game Stands Tall</t>
  </si>
  <si>
    <t>Thomas Carter</t>
  </si>
  <si>
    <t>Jim Caviezel</t>
  </si>
  <si>
    <t>Laura Dern</t>
  </si>
  <si>
    <t>Michael Chiklis</t>
  </si>
  <si>
    <t>Alexander Ludwig</t>
  </si>
  <si>
    <t>Whiplash</t>
  </si>
  <si>
    <t>Damien Chazelle</t>
  </si>
  <si>
    <t>Melissa Benoist</t>
  </si>
  <si>
    <t>Whiskey Tango Foxtrot</t>
  </si>
  <si>
    <t>Glenn Ficarra</t>
  </si>
  <si>
    <t>John Requa</t>
  </si>
  <si>
    <t>White House Down</t>
  </si>
  <si>
    <t>Maggie Gyllenhaal</t>
  </si>
  <si>
    <t>James Woods</t>
  </si>
  <si>
    <t>Wild</t>
  </si>
  <si>
    <t>Jean-Marc Vallée</t>
  </si>
  <si>
    <t>Gaby Hoffmann</t>
  </si>
  <si>
    <t>Charles Baker</t>
  </si>
  <si>
    <t>Winter's Tale</t>
  </si>
  <si>
    <t>Akiva Goldsman</t>
  </si>
  <si>
    <t>Wish I Was Here</t>
  </si>
  <si>
    <t>Zach Braff</t>
  </si>
  <si>
    <t>Mandy Patinkin</t>
  </si>
  <si>
    <t>Ashley Greene</t>
  </si>
  <si>
    <t>Woman in Gold</t>
  </si>
  <si>
    <t>Simon Curtis</t>
  </si>
  <si>
    <t>Tatiana Maslany</t>
  </si>
  <si>
    <t>Won't Back Down</t>
  </si>
  <si>
    <t>Daniel Barnz</t>
  </si>
  <si>
    <t>Holly Hunter</t>
  </si>
  <si>
    <t>Rosie Perez</t>
  </si>
  <si>
    <t>Woodlawn</t>
  </si>
  <si>
    <t>The Erwin Brothers</t>
  </si>
  <si>
    <t>Nic Bishop</t>
  </si>
  <si>
    <t>Caleb Castille</t>
  </si>
  <si>
    <t>World War Z</t>
  </si>
  <si>
    <t>Marc Forster</t>
  </si>
  <si>
    <t>Daniella Kertesz</t>
  </si>
  <si>
    <t>Wrath of the Titans</t>
  </si>
  <si>
    <t>X-Men: Apocalypse</t>
  </si>
  <si>
    <t>Bryan Singer</t>
  </si>
  <si>
    <t>X-Men: Days of Future Past</t>
  </si>
  <si>
    <t>You're Next</t>
  </si>
  <si>
    <t>Adam Wingard</t>
  </si>
  <si>
    <t>Sharni Vinson</t>
  </si>
  <si>
    <t>Joe Swanberg</t>
  </si>
  <si>
    <t>AJ Bowen</t>
  </si>
  <si>
    <t>Nicholas Tucci</t>
  </si>
  <si>
    <t>Barbara Crampton</t>
  </si>
  <si>
    <t>Zero Dark Thirty</t>
  </si>
  <si>
    <t>Kathryn Bigelow</t>
  </si>
  <si>
    <t>Zhong Kui: Snow Girl and the Dark Crystal</t>
  </si>
  <si>
    <t>Peter Pau</t>
  </si>
  <si>
    <t>Li Bingbing</t>
  </si>
  <si>
    <t>Chen Kun</t>
  </si>
  <si>
    <t>Yang Zishan</t>
  </si>
  <si>
    <t>Winston Chao</t>
  </si>
  <si>
    <t>Bao Bei'er</t>
  </si>
  <si>
    <t>Zoolander 2</t>
  </si>
  <si>
    <t>Christine Taylor</t>
  </si>
  <si>
    <t>Penélope Cruz</t>
  </si>
  <si>
    <t>Count of Movie Title</t>
  </si>
  <si>
    <t>Sum of Revenue</t>
  </si>
  <si>
    <t>Sum of Profit</t>
  </si>
  <si>
    <t>Average of ROI%</t>
  </si>
  <si>
    <t>Row Labels</t>
  </si>
  <si>
    <t>Budget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</si>
</sst>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64" formatCode="0.0"/>
    <numFmt numFmtId="165" formatCode="0.00,,,\ \ &quot;B&quot;"/>
    <numFmt numFmtId="166" formatCode="0.00,,,\ &quot;B&quot;"/>
    <numFmt numFmtId="167" formatCode="0.00,,\ &quot;M&quot;"/>
  </numFmts>
  <fonts count="2" x14ac:knownFonts="1">
    <font>
      <sz val="11"/>
      <color theme="1"/>
      <name val="Aptos Narrow"/>
      <family val="2"/>
      <scheme val="minor"/>
    </font>
    <font>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12">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164" fontId="0" fillId="0" borderId="0" xfId="0" applyNumberFormat="1" applyAlignment="1">
      <alignment horizontal="left"/>
    </xf>
    <xf numFmtId="165" fontId="0" fillId="0" borderId="0" xfId="1" applyNumberFormat="1" applyFont="1"/>
    <xf numFmtId="166" fontId="0" fillId="0" borderId="0" xfId="1" applyNumberFormat="1" applyFont="1"/>
    <xf numFmtId="166" fontId="0" fillId="0" borderId="0" xfId="0" applyNumberFormat="1"/>
    <xf numFmtId="167" fontId="0" fillId="0" borderId="0" xfId="0" applyNumberFormat="1"/>
    <xf numFmtId="1" fontId="0" fillId="0" borderId="0" xfId="0" applyNumberFormat="1"/>
    <xf numFmtId="164" fontId="0" fillId="0" borderId="0" xfId="0" applyNumberFormat="1"/>
  </cellXfs>
  <cellStyles count="2">
    <cellStyle name="Comma" xfId="1" builtinId="3"/>
    <cellStyle name="Normal" xfId="0" builtinId="0"/>
  </cellStyles>
  <dxfs count="20">
    <dxf>
      <numFmt numFmtId="167" formatCode="0.00,,\ &quot;M&quot;"/>
    </dxf>
    <dxf>
      <numFmt numFmtId="166" formatCode="0.00,,,\ &quot;B&quot;"/>
    </dxf>
    <dxf>
      <numFmt numFmtId="35" formatCode="_ * #,##0.00_ ;_ * \-#,##0.00_ ;_ * &quot;-&quot;??_ ;_ @_ "/>
    </dxf>
    <dxf>
      <numFmt numFmtId="166" formatCode="0.00,,,\ &quot;B&quot;"/>
    </dxf>
    <dxf>
      <numFmt numFmtId="164" formatCode="0.0"/>
    </dxf>
    <dxf>
      <numFmt numFmtId="166" formatCode="0.00,,,\ &quot;B&quot;"/>
    </dxf>
    <dxf>
      <numFmt numFmtId="167" formatCode="0.00,,\ &quot;M&quot;"/>
    </dxf>
    <dxf>
      <numFmt numFmtId="167" formatCode="0.00,,\ &quot;M&quot;"/>
    </dxf>
    <dxf>
      <numFmt numFmtId="1" formatCode="0"/>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5" Type="http://schemas.openxmlformats.org/officeDocument/2006/relationships/customXml" Target="../customXml/item1.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766638545181853"/>
          <c:y val="5.0925925925925923E-2"/>
          <c:w val="0.7534050431196101"/>
          <c:h val="0.8401001958088572"/>
        </c:manualLayout>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2">
                    <a:lumMod val="50000"/>
                  </a:schemeClr>
                </a:solidFill>
                <a:prstDash val="sysDot"/>
              </a:ln>
              <a:effectLst/>
            </c:spPr>
            <c:trendlineType val="linear"/>
            <c:dispRSqr val="0"/>
            <c:dispEq val="0"/>
          </c:trendline>
          <c:xVal>
            <c:numRef>
              <c:f>'PIVOT TABLE'!$E$57:$E$203</c:f>
              <c:numCache>
                <c:formatCode>General</c:formatCode>
                <c:ptCount val="147"/>
                <c:pt idx="0">
                  <c:v>1000000</c:v>
                </c:pt>
                <c:pt idx="1">
                  <c:v>1100000</c:v>
                </c:pt>
                <c:pt idx="2">
                  <c:v>1300000</c:v>
                </c:pt>
                <c:pt idx="3">
                  <c:v>1400000</c:v>
                </c:pt>
                <c:pt idx="4">
                  <c:v>1500000</c:v>
                </c:pt>
                <c:pt idx="5">
                  <c:v>1750000</c:v>
                </c:pt>
                <c:pt idx="6">
                  <c:v>1800000</c:v>
                </c:pt>
                <c:pt idx="7">
                  <c:v>2000000</c:v>
                </c:pt>
                <c:pt idx="8">
                  <c:v>2400000</c:v>
                </c:pt>
                <c:pt idx="9">
                  <c:v>2500000</c:v>
                </c:pt>
                <c:pt idx="10">
                  <c:v>2900000</c:v>
                </c:pt>
                <c:pt idx="11">
                  <c:v>3000000</c:v>
                </c:pt>
                <c:pt idx="12">
                  <c:v>3300000</c:v>
                </c:pt>
                <c:pt idx="13">
                  <c:v>3400000</c:v>
                </c:pt>
                <c:pt idx="14">
                  <c:v>3500000</c:v>
                </c:pt>
                <c:pt idx="15">
                  <c:v>3800000</c:v>
                </c:pt>
                <c:pt idx="16">
                  <c:v>4000000</c:v>
                </c:pt>
                <c:pt idx="17">
                  <c:v>4500000</c:v>
                </c:pt>
                <c:pt idx="18">
                  <c:v>4900000</c:v>
                </c:pt>
                <c:pt idx="19">
                  <c:v>5000000</c:v>
                </c:pt>
                <c:pt idx="20">
                  <c:v>6000000</c:v>
                </c:pt>
                <c:pt idx="21">
                  <c:v>6500000</c:v>
                </c:pt>
                <c:pt idx="22">
                  <c:v>7000000</c:v>
                </c:pt>
                <c:pt idx="23">
                  <c:v>7500000</c:v>
                </c:pt>
                <c:pt idx="24">
                  <c:v>8000000</c:v>
                </c:pt>
                <c:pt idx="25">
                  <c:v>8100000</c:v>
                </c:pt>
                <c:pt idx="26">
                  <c:v>8500000</c:v>
                </c:pt>
                <c:pt idx="27">
                  <c:v>9600000</c:v>
                </c:pt>
                <c:pt idx="28">
                  <c:v>9900000</c:v>
                </c:pt>
                <c:pt idx="29">
                  <c:v>10000000</c:v>
                </c:pt>
                <c:pt idx="30">
                  <c:v>11000000</c:v>
                </c:pt>
                <c:pt idx="31">
                  <c:v>11800000</c:v>
                </c:pt>
                <c:pt idx="32">
                  <c:v>12000000</c:v>
                </c:pt>
                <c:pt idx="33">
                  <c:v>12600000</c:v>
                </c:pt>
                <c:pt idx="34">
                  <c:v>13000000</c:v>
                </c:pt>
                <c:pt idx="35">
                  <c:v>13200000</c:v>
                </c:pt>
                <c:pt idx="36">
                  <c:v>14000000</c:v>
                </c:pt>
                <c:pt idx="37">
                  <c:v>14400000</c:v>
                </c:pt>
                <c:pt idx="38">
                  <c:v>15000000</c:v>
                </c:pt>
                <c:pt idx="39">
                  <c:v>16000000</c:v>
                </c:pt>
                <c:pt idx="40">
                  <c:v>16800000</c:v>
                </c:pt>
                <c:pt idx="41">
                  <c:v>17000000</c:v>
                </c:pt>
                <c:pt idx="42">
                  <c:v>18000000</c:v>
                </c:pt>
                <c:pt idx="43">
                  <c:v>18500000</c:v>
                </c:pt>
                <c:pt idx="44">
                  <c:v>19000000</c:v>
                </c:pt>
                <c:pt idx="45">
                  <c:v>19500000</c:v>
                </c:pt>
                <c:pt idx="46">
                  <c:v>19800000</c:v>
                </c:pt>
                <c:pt idx="47">
                  <c:v>20000000</c:v>
                </c:pt>
                <c:pt idx="48">
                  <c:v>21000000</c:v>
                </c:pt>
                <c:pt idx="49">
                  <c:v>22000000</c:v>
                </c:pt>
                <c:pt idx="50">
                  <c:v>22500000</c:v>
                </c:pt>
                <c:pt idx="51">
                  <c:v>22700000</c:v>
                </c:pt>
                <c:pt idx="52">
                  <c:v>23000000</c:v>
                </c:pt>
                <c:pt idx="53">
                  <c:v>24000000</c:v>
                </c:pt>
                <c:pt idx="54">
                  <c:v>25000000</c:v>
                </c:pt>
                <c:pt idx="55">
                  <c:v>26000000</c:v>
                </c:pt>
                <c:pt idx="56">
                  <c:v>27000000</c:v>
                </c:pt>
                <c:pt idx="57">
                  <c:v>28000000</c:v>
                </c:pt>
                <c:pt idx="58">
                  <c:v>29000000</c:v>
                </c:pt>
                <c:pt idx="59">
                  <c:v>30000000</c:v>
                </c:pt>
                <c:pt idx="60">
                  <c:v>31000000</c:v>
                </c:pt>
                <c:pt idx="61">
                  <c:v>31500000</c:v>
                </c:pt>
                <c:pt idx="62">
                  <c:v>32000000</c:v>
                </c:pt>
                <c:pt idx="63">
                  <c:v>34000000</c:v>
                </c:pt>
                <c:pt idx="64">
                  <c:v>35000000</c:v>
                </c:pt>
                <c:pt idx="65">
                  <c:v>36000000</c:v>
                </c:pt>
                <c:pt idx="66">
                  <c:v>38000000</c:v>
                </c:pt>
                <c:pt idx="67">
                  <c:v>39000000</c:v>
                </c:pt>
                <c:pt idx="68">
                  <c:v>40000000</c:v>
                </c:pt>
                <c:pt idx="69">
                  <c:v>42000000</c:v>
                </c:pt>
                <c:pt idx="70">
                  <c:v>42800000</c:v>
                </c:pt>
                <c:pt idx="71">
                  <c:v>43000000</c:v>
                </c:pt>
                <c:pt idx="72">
                  <c:v>44000000</c:v>
                </c:pt>
                <c:pt idx="73">
                  <c:v>44500000</c:v>
                </c:pt>
                <c:pt idx="74">
                  <c:v>45000000</c:v>
                </c:pt>
                <c:pt idx="75">
                  <c:v>46000000</c:v>
                </c:pt>
                <c:pt idx="76">
                  <c:v>47500000</c:v>
                </c:pt>
                <c:pt idx="77">
                  <c:v>49000000</c:v>
                </c:pt>
                <c:pt idx="78">
                  <c:v>50000000</c:v>
                </c:pt>
                <c:pt idx="79">
                  <c:v>51000000</c:v>
                </c:pt>
                <c:pt idx="80">
                  <c:v>52000000</c:v>
                </c:pt>
                <c:pt idx="81">
                  <c:v>53000000</c:v>
                </c:pt>
                <c:pt idx="82">
                  <c:v>55000000</c:v>
                </c:pt>
                <c:pt idx="83">
                  <c:v>56000000</c:v>
                </c:pt>
                <c:pt idx="84">
                  <c:v>57000000</c:v>
                </c:pt>
                <c:pt idx="85">
                  <c:v>58000000</c:v>
                </c:pt>
                <c:pt idx="86">
                  <c:v>58600000</c:v>
                </c:pt>
                <c:pt idx="87">
                  <c:v>58800000</c:v>
                </c:pt>
                <c:pt idx="88">
                  <c:v>60000000</c:v>
                </c:pt>
                <c:pt idx="89">
                  <c:v>60720000</c:v>
                </c:pt>
                <c:pt idx="90">
                  <c:v>61000000</c:v>
                </c:pt>
                <c:pt idx="91">
                  <c:v>61600000</c:v>
                </c:pt>
                <c:pt idx="92">
                  <c:v>65000000</c:v>
                </c:pt>
                <c:pt idx="93">
                  <c:v>68000000</c:v>
                </c:pt>
                <c:pt idx="94">
                  <c:v>69000000</c:v>
                </c:pt>
                <c:pt idx="95">
                  <c:v>70000000</c:v>
                </c:pt>
                <c:pt idx="96">
                  <c:v>73000000</c:v>
                </c:pt>
                <c:pt idx="97">
                  <c:v>74000000</c:v>
                </c:pt>
                <c:pt idx="98">
                  <c:v>75000000</c:v>
                </c:pt>
                <c:pt idx="99">
                  <c:v>76000000</c:v>
                </c:pt>
                <c:pt idx="100">
                  <c:v>78000000</c:v>
                </c:pt>
                <c:pt idx="101">
                  <c:v>79000000</c:v>
                </c:pt>
                <c:pt idx="102">
                  <c:v>80000000</c:v>
                </c:pt>
                <c:pt idx="103">
                  <c:v>84000000</c:v>
                </c:pt>
                <c:pt idx="104">
                  <c:v>84500000</c:v>
                </c:pt>
                <c:pt idx="105">
                  <c:v>85000000</c:v>
                </c:pt>
                <c:pt idx="106">
                  <c:v>90000000</c:v>
                </c:pt>
                <c:pt idx="107">
                  <c:v>92000000</c:v>
                </c:pt>
                <c:pt idx="108">
                  <c:v>93000000</c:v>
                </c:pt>
                <c:pt idx="109">
                  <c:v>94000000</c:v>
                </c:pt>
                <c:pt idx="110">
                  <c:v>95000000</c:v>
                </c:pt>
                <c:pt idx="111">
                  <c:v>99000000</c:v>
                </c:pt>
                <c:pt idx="112">
                  <c:v>99500000</c:v>
                </c:pt>
                <c:pt idx="113">
                  <c:v>100000000</c:v>
                </c:pt>
                <c:pt idx="114">
                  <c:v>103000000</c:v>
                </c:pt>
                <c:pt idx="115">
                  <c:v>105000000</c:v>
                </c:pt>
                <c:pt idx="116">
                  <c:v>108000000</c:v>
                </c:pt>
                <c:pt idx="117">
                  <c:v>110000000</c:v>
                </c:pt>
                <c:pt idx="118">
                  <c:v>115000000</c:v>
                </c:pt>
                <c:pt idx="119">
                  <c:v>120000000</c:v>
                </c:pt>
                <c:pt idx="120">
                  <c:v>125000000</c:v>
                </c:pt>
                <c:pt idx="121">
                  <c:v>127000000</c:v>
                </c:pt>
                <c:pt idx="122">
                  <c:v>128500000</c:v>
                </c:pt>
                <c:pt idx="123">
                  <c:v>129000000</c:v>
                </c:pt>
                <c:pt idx="124">
                  <c:v>130000000</c:v>
                </c:pt>
                <c:pt idx="125">
                  <c:v>132000000</c:v>
                </c:pt>
                <c:pt idx="126">
                  <c:v>135000000</c:v>
                </c:pt>
                <c:pt idx="127">
                  <c:v>140000000</c:v>
                </c:pt>
                <c:pt idx="128">
                  <c:v>144000000</c:v>
                </c:pt>
                <c:pt idx="129">
                  <c:v>145000000</c:v>
                </c:pt>
                <c:pt idx="130">
                  <c:v>150000000</c:v>
                </c:pt>
                <c:pt idx="131">
                  <c:v>155000000</c:v>
                </c:pt>
                <c:pt idx="132">
                  <c:v>160000000</c:v>
                </c:pt>
                <c:pt idx="133">
                  <c:v>165000000</c:v>
                </c:pt>
                <c:pt idx="134">
                  <c:v>170000000</c:v>
                </c:pt>
                <c:pt idx="135">
                  <c:v>175000000</c:v>
                </c:pt>
                <c:pt idx="136">
                  <c:v>178000000</c:v>
                </c:pt>
                <c:pt idx="137">
                  <c:v>180000000</c:v>
                </c:pt>
                <c:pt idx="138">
                  <c:v>185000000</c:v>
                </c:pt>
                <c:pt idx="139">
                  <c:v>190000000</c:v>
                </c:pt>
                <c:pt idx="140">
                  <c:v>200000000</c:v>
                </c:pt>
                <c:pt idx="141">
                  <c:v>215000000</c:v>
                </c:pt>
                <c:pt idx="142">
                  <c:v>220000000</c:v>
                </c:pt>
                <c:pt idx="143">
                  <c:v>225000000</c:v>
                </c:pt>
                <c:pt idx="144">
                  <c:v>230000000</c:v>
                </c:pt>
                <c:pt idx="145">
                  <c:v>235000000</c:v>
                </c:pt>
                <c:pt idx="146">
                  <c:v>250000000</c:v>
                </c:pt>
              </c:numCache>
            </c:numRef>
          </c:xVal>
          <c:yVal>
            <c:numRef>
              <c:f>'PIVOT TABLE'!$F$57:$F$203</c:f>
              <c:numCache>
                <c:formatCode>General</c:formatCode>
                <c:ptCount val="147"/>
                <c:pt idx="0" formatCode="0">
                  <c:v>226500000</c:v>
                </c:pt>
                <c:pt idx="1">
                  <c:v>8040000</c:v>
                </c:pt>
                <c:pt idx="2">
                  <c:v>3600000</c:v>
                </c:pt>
                <c:pt idx="3">
                  <c:v>1400000</c:v>
                </c:pt>
                <c:pt idx="4">
                  <c:v>9700000</c:v>
                </c:pt>
                <c:pt idx="5">
                  <c:v>-10000</c:v>
                </c:pt>
                <c:pt idx="6">
                  <c:v>20100000</c:v>
                </c:pt>
                <c:pt idx="7">
                  <c:v>73900000</c:v>
                </c:pt>
                <c:pt idx="8">
                  <c:v>14100000</c:v>
                </c:pt>
                <c:pt idx="9">
                  <c:v>64400000</c:v>
                </c:pt>
                <c:pt idx="10">
                  <c:v>-1900000</c:v>
                </c:pt>
                <c:pt idx="11">
                  <c:v>276300000</c:v>
                </c:pt>
                <c:pt idx="12">
                  <c:v>80800000</c:v>
                </c:pt>
                <c:pt idx="13">
                  <c:v>18600000</c:v>
                </c:pt>
                <c:pt idx="14">
                  <c:v>23800000</c:v>
                </c:pt>
                <c:pt idx="15">
                  <c:v>-500000</c:v>
                </c:pt>
                <c:pt idx="16">
                  <c:v>65020000</c:v>
                </c:pt>
                <c:pt idx="17">
                  <c:v>2100000</c:v>
                </c:pt>
                <c:pt idx="18">
                  <c:v>121000000</c:v>
                </c:pt>
                <c:pt idx="19">
                  <c:v>640500000</c:v>
                </c:pt>
                <c:pt idx="20">
                  <c:v>32400000</c:v>
                </c:pt>
                <c:pt idx="21">
                  <c:v>246300000</c:v>
                </c:pt>
                <c:pt idx="22">
                  <c:v>78600000</c:v>
                </c:pt>
                <c:pt idx="23">
                  <c:v>600000</c:v>
                </c:pt>
                <c:pt idx="24">
                  <c:v>98300000</c:v>
                </c:pt>
                <c:pt idx="25">
                  <c:v>-5200000</c:v>
                </c:pt>
                <c:pt idx="26">
                  <c:v>76800000</c:v>
                </c:pt>
                <c:pt idx="27">
                  <c:v>-4200000</c:v>
                </c:pt>
                <c:pt idx="28">
                  <c:v>18400000</c:v>
                </c:pt>
                <c:pt idx="29">
                  <c:v>575300000</c:v>
                </c:pt>
                <c:pt idx="30">
                  <c:v>323000000</c:v>
                </c:pt>
                <c:pt idx="31">
                  <c:v>28500000</c:v>
                </c:pt>
                <c:pt idx="32">
                  <c:v>511400000</c:v>
                </c:pt>
                <c:pt idx="33">
                  <c:v>6100000</c:v>
                </c:pt>
                <c:pt idx="34">
                  <c:v>539200000</c:v>
                </c:pt>
                <c:pt idx="35">
                  <c:v>41100000</c:v>
                </c:pt>
                <c:pt idx="36">
                  <c:v>321100000</c:v>
                </c:pt>
                <c:pt idx="37">
                  <c:v>20200000</c:v>
                </c:pt>
                <c:pt idx="38">
                  <c:v>1149900000</c:v>
                </c:pt>
                <c:pt idx="39">
                  <c:v>47100000</c:v>
                </c:pt>
                <c:pt idx="40">
                  <c:v>34200000</c:v>
                </c:pt>
                <c:pt idx="41">
                  <c:v>376300000</c:v>
                </c:pt>
                <c:pt idx="42">
                  <c:v>822600000</c:v>
                </c:pt>
                <c:pt idx="43">
                  <c:v>-11300000</c:v>
                </c:pt>
                <c:pt idx="44">
                  <c:v>-14500000</c:v>
                </c:pt>
                <c:pt idx="45">
                  <c:v>12700000</c:v>
                </c:pt>
                <c:pt idx="46">
                  <c:v>21500000</c:v>
                </c:pt>
                <c:pt idx="47">
                  <c:v>1032000000</c:v>
                </c:pt>
                <c:pt idx="48">
                  <c:v>215400000</c:v>
                </c:pt>
                <c:pt idx="49">
                  <c:v>160900000</c:v>
                </c:pt>
                <c:pt idx="50">
                  <c:v>8300000</c:v>
                </c:pt>
                <c:pt idx="51">
                  <c:v>-15600000</c:v>
                </c:pt>
                <c:pt idx="52">
                  <c:v>400400000</c:v>
                </c:pt>
                <c:pt idx="53">
                  <c:v>17100000</c:v>
                </c:pt>
                <c:pt idx="54">
                  <c:v>591000000</c:v>
                </c:pt>
                <c:pt idx="55">
                  <c:v>67300000</c:v>
                </c:pt>
                <c:pt idx="56">
                  <c:v>66100000</c:v>
                </c:pt>
                <c:pt idx="57">
                  <c:v>104200000</c:v>
                </c:pt>
                <c:pt idx="58">
                  <c:v>307700000</c:v>
                </c:pt>
                <c:pt idx="59">
                  <c:v>802370000</c:v>
                </c:pt>
                <c:pt idx="60">
                  <c:v>204700000</c:v>
                </c:pt>
                <c:pt idx="61">
                  <c:v>4100000</c:v>
                </c:pt>
                <c:pt idx="62">
                  <c:v>90300000</c:v>
                </c:pt>
                <c:pt idx="63">
                  <c:v>307700000</c:v>
                </c:pt>
                <c:pt idx="64">
                  <c:v>605600000</c:v>
                </c:pt>
                <c:pt idx="65">
                  <c:v>21800000</c:v>
                </c:pt>
                <c:pt idx="66">
                  <c:v>52200000</c:v>
                </c:pt>
                <c:pt idx="67">
                  <c:v>10300000</c:v>
                </c:pt>
                <c:pt idx="68">
                  <c:v>1670700000</c:v>
                </c:pt>
                <c:pt idx="69">
                  <c:v>35300000</c:v>
                </c:pt>
                <c:pt idx="70">
                  <c:v>78100000</c:v>
                </c:pt>
                <c:pt idx="71">
                  <c:v>520000000</c:v>
                </c:pt>
                <c:pt idx="72">
                  <c:v>229700000</c:v>
                </c:pt>
                <c:pt idx="73">
                  <c:v>187800000</c:v>
                </c:pt>
                <c:pt idx="74">
                  <c:v>258400000</c:v>
                </c:pt>
                <c:pt idx="75">
                  <c:v>76100000</c:v>
                </c:pt>
                <c:pt idx="76">
                  <c:v>-32300000</c:v>
                </c:pt>
                <c:pt idx="77">
                  <c:v>53100000</c:v>
                </c:pt>
                <c:pt idx="78">
                  <c:v>1103800000</c:v>
                </c:pt>
                <c:pt idx="79">
                  <c:v>498400000</c:v>
                </c:pt>
                <c:pt idx="80">
                  <c:v>-25700000</c:v>
                </c:pt>
                <c:pt idx="81">
                  <c:v>46800000</c:v>
                </c:pt>
                <c:pt idx="82">
                  <c:v>338400000</c:v>
                </c:pt>
                <c:pt idx="83">
                  <c:v>329200000</c:v>
                </c:pt>
                <c:pt idx="84">
                  <c:v>119600000</c:v>
                </c:pt>
                <c:pt idx="85">
                  <c:v>752000000</c:v>
                </c:pt>
                <c:pt idx="86">
                  <c:v>9100000</c:v>
                </c:pt>
                <c:pt idx="87">
                  <c:v>488600000</c:v>
                </c:pt>
                <c:pt idx="88">
                  <c:v>861600000</c:v>
                </c:pt>
                <c:pt idx="89">
                  <c:v>493080000</c:v>
                </c:pt>
                <c:pt idx="90">
                  <c:v>1011300000</c:v>
                </c:pt>
                <c:pt idx="91">
                  <c:v>10100000</c:v>
                </c:pt>
                <c:pt idx="92">
                  <c:v>1080100000</c:v>
                </c:pt>
                <c:pt idx="93">
                  <c:v>292800000</c:v>
                </c:pt>
                <c:pt idx="94">
                  <c:v>171400000</c:v>
                </c:pt>
                <c:pt idx="95">
                  <c:v>542900000</c:v>
                </c:pt>
                <c:pt idx="96">
                  <c:v>273900000</c:v>
                </c:pt>
                <c:pt idx="97">
                  <c:v>249400000</c:v>
                </c:pt>
                <c:pt idx="98">
                  <c:v>976000000</c:v>
                </c:pt>
                <c:pt idx="99">
                  <c:v>894800000</c:v>
                </c:pt>
                <c:pt idx="100">
                  <c:v>812700000</c:v>
                </c:pt>
                <c:pt idx="101">
                  <c:v>256300000</c:v>
                </c:pt>
                <c:pt idx="102">
                  <c:v>597800000</c:v>
                </c:pt>
                <c:pt idx="103">
                  <c:v>130300000</c:v>
                </c:pt>
                <c:pt idx="104">
                  <c:v>246800000</c:v>
                </c:pt>
                <c:pt idx="105">
                  <c:v>698400000</c:v>
                </c:pt>
                <c:pt idx="106">
                  <c:v>654500000</c:v>
                </c:pt>
                <c:pt idx="107">
                  <c:v>212700000</c:v>
                </c:pt>
                <c:pt idx="108">
                  <c:v>175400000</c:v>
                </c:pt>
                <c:pt idx="109">
                  <c:v>320400000</c:v>
                </c:pt>
                <c:pt idx="110">
                  <c:v>811100000</c:v>
                </c:pt>
                <c:pt idx="111">
                  <c:v>147200000</c:v>
                </c:pt>
                <c:pt idx="112">
                  <c:v>16900000</c:v>
                </c:pt>
                <c:pt idx="113">
                  <c:v>611800000</c:v>
                </c:pt>
                <c:pt idx="114">
                  <c:v>656100000</c:v>
                </c:pt>
                <c:pt idx="115">
                  <c:v>780500000</c:v>
                </c:pt>
                <c:pt idx="116">
                  <c:v>522200000</c:v>
                </c:pt>
                <c:pt idx="117">
                  <c:v>484100000</c:v>
                </c:pt>
                <c:pt idx="118">
                  <c:v>220700000</c:v>
                </c:pt>
                <c:pt idx="119">
                  <c:v>1935600000</c:v>
                </c:pt>
                <c:pt idx="120">
                  <c:v>1460900000</c:v>
                </c:pt>
                <c:pt idx="121">
                  <c:v>391800000</c:v>
                </c:pt>
                <c:pt idx="122">
                  <c:v>2000000</c:v>
                </c:pt>
                <c:pt idx="123">
                  <c:v>115900000</c:v>
                </c:pt>
                <c:pt idx="124">
                  <c:v>970600000</c:v>
                </c:pt>
                <c:pt idx="125">
                  <c:v>241000000</c:v>
                </c:pt>
                <c:pt idx="126">
                  <c:v>1208700000</c:v>
                </c:pt>
                <c:pt idx="127">
                  <c:v>5700000</c:v>
                </c:pt>
                <c:pt idx="128">
                  <c:v>73500000</c:v>
                </c:pt>
                <c:pt idx="129">
                  <c:v>1745900000</c:v>
                </c:pt>
                <c:pt idx="130">
                  <c:v>1044900000</c:v>
                </c:pt>
                <c:pt idx="131">
                  <c:v>285600000</c:v>
                </c:pt>
                <c:pt idx="132">
                  <c:v>1764600000</c:v>
                </c:pt>
                <c:pt idx="133">
                  <c:v>727400000</c:v>
                </c:pt>
                <c:pt idx="134">
                  <c:v>771000000</c:v>
                </c:pt>
                <c:pt idx="135">
                  <c:v>461700000</c:v>
                </c:pt>
                <c:pt idx="136">
                  <c:v>559100000</c:v>
                </c:pt>
                <c:pt idx="137">
                  <c:v>172700000</c:v>
                </c:pt>
                <c:pt idx="138">
                  <c:v>58000000</c:v>
                </c:pt>
                <c:pt idx="139">
                  <c:v>571000000</c:v>
                </c:pt>
                <c:pt idx="140">
                  <c:v>547900000</c:v>
                </c:pt>
                <c:pt idx="141">
                  <c:v>409000000</c:v>
                </c:pt>
                <c:pt idx="142">
                  <c:v>83000000</c:v>
                </c:pt>
                <c:pt idx="143">
                  <c:v>443000000</c:v>
                </c:pt>
                <c:pt idx="144">
                  <c:v>527900000</c:v>
                </c:pt>
                <c:pt idx="145">
                  <c:v>475600000</c:v>
                </c:pt>
                <c:pt idx="146">
                  <c:v>1328700000</c:v>
                </c:pt>
              </c:numCache>
            </c:numRef>
          </c:yVal>
          <c:smooth val="0"/>
          <c:extLst>
            <c:ext xmlns:c16="http://schemas.microsoft.com/office/drawing/2014/chart" uri="{C3380CC4-5D6E-409C-BE32-E72D297353CC}">
              <c16:uniqueId val="{00000001-15EF-480F-B166-49FF80490058}"/>
            </c:ext>
          </c:extLst>
        </c:ser>
        <c:dLbls>
          <c:showLegendKey val="0"/>
          <c:showVal val="0"/>
          <c:showCatName val="0"/>
          <c:showSerName val="0"/>
          <c:showPercent val="0"/>
          <c:showBubbleSize val="0"/>
        </c:dLbls>
        <c:axId val="507324047"/>
        <c:axId val="507315887"/>
      </c:scatterChart>
      <c:valAx>
        <c:axId val="50732404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600" b="1"/>
                  <a:t>BUDGET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315887"/>
        <c:crosses val="autoZero"/>
        <c:crossBetween val="midCat"/>
        <c:majorUnit val="30000000.000000004"/>
        <c:dispUnits>
          <c:builtInUnit val="millions"/>
          <c:dispUnitsLbl>
            <c:layout>
              <c:manualLayout>
                <c:xMode val="edge"/>
                <c:yMode val="edge"/>
                <c:x val="0.80718829516539436"/>
                <c:y val="0.89898789629713538"/>
              </c:manualLayout>
            </c:layout>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valAx>
        <c:axId val="5073158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600" b="1"/>
                  <a:t> 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324047"/>
        <c:crosses val="autoZero"/>
        <c:crossBetween val="midCat"/>
        <c:majorUnit val="250000000"/>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solidFill>
          <a:schemeClr val="bg1">
            <a:lumMod val="95000"/>
          </a:schemeClr>
        </a:solidFill>
        <a:ln>
          <a:noFill/>
        </a:ln>
        <a:effectLst/>
      </c:spPr>
    </c:plotArea>
    <c:plotVisOnly val="1"/>
    <c:dispBlanksAs val="gap"/>
    <c:showDLblsOverMax val="0"/>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[Movie Performance Dashboard.xlsx]PIVOT TABLE!PivotTable7</c:name>
    <c:fmtId val="17"/>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lumMod val="75000"/>
              </a:schemeClr>
            </a:solidFill>
            <a:round/>
          </a:ln>
          <a:effectLst/>
        </c:spPr>
        <c:marker>
          <c:symbol val="circle"/>
          <c:size val="5"/>
          <c:spPr>
            <a:solidFill>
              <a:schemeClr val="accent6">
                <a:lumMod val="75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6">
                <a:lumMod val="75000"/>
              </a:schemeClr>
            </a:solidFill>
            <a:round/>
          </a:ln>
          <a:effectLst/>
        </c:spPr>
        <c:marker>
          <c:symbol val="circle"/>
          <c:size val="5"/>
          <c:spPr>
            <a:solidFill>
              <a:schemeClr val="accent6">
                <a:lumMod val="75000"/>
              </a:schemeClr>
            </a:solidFill>
            <a:ln w="9525">
              <a:solidFill>
                <a:schemeClr val="accent1"/>
              </a:solidFill>
            </a:ln>
            <a:effectLst/>
          </c:spPr>
        </c:marker>
      </c:pivotFmt>
      <c:pivotFmt>
        <c:idx val="4"/>
        <c:spPr>
          <a:ln w="28575" cap="rnd">
            <a:solidFill>
              <a:schemeClr val="accent6">
                <a:lumMod val="75000"/>
              </a:schemeClr>
            </a:solidFill>
            <a:round/>
          </a:ln>
          <a:effectLst/>
        </c:spPr>
        <c:marker>
          <c:symbol val="circle"/>
          <c:size val="5"/>
          <c:spPr>
            <a:solidFill>
              <a:schemeClr val="accent6">
                <a:lumMod val="75000"/>
              </a:schemeClr>
            </a:solidFill>
            <a:ln w="9525">
              <a:solidFill>
                <a:schemeClr val="accent1"/>
              </a:solidFill>
            </a:ln>
            <a:effectLst/>
          </c:spPr>
        </c:marker>
      </c:pivotFmt>
    </c:pivotFmts>
    <c:plotArea>
      <c:layout/>
      <c:lineChart>
        <c:grouping val="standard"/>
        <c:varyColors val="0"/>
        <c:ser>
          <c:idx val="0"/>
          <c:order val="0"/>
          <c:tx>
            <c:strRef>
              <c:f>'PIVOT TABLE'!$B$48</c:f>
              <c:strCache>
                <c:ptCount val="1"/>
                <c:pt idx="0">
                  <c:v>Total</c:v>
                </c:pt>
              </c:strCache>
            </c:strRef>
          </c:tx>
          <c:spPr>
            <a:ln w="28575" cap="rnd">
              <a:solidFill>
                <a:schemeClr val="accent6">
                  <a:lumMod val="75000"/>
                </a:schemeClr>
              </a:solidFill>
              <a:round/>
            </a:ln>
            <a:effectLst/>
          </c:spPr>
          <c:marker>
            <c:symbol val="circle"/>
            <c:size val="5"/>
            <c:spPr>
              <a:solidFill>
                <a:schemeClr val="accent6">
                  <a:lumMod val="75000"/>
                </a:schemeClr>
              </a:solidFill>
              <a:ln w="9525">
                <a:solidFill>
                  <a:schemeClr val="accent1"/>
                </a:solidFill>
              </a:ln>
              <a:effectLst/>
            </c:spPr>
          </c:marker>
          <c:cat>
            <c:strRef>
              <c:f>'PIVOT TABLE'!$A$49:$A$53</c:f>
              <c:strCache>
                <c:ptCount val="5"/>
                <c:pt idx="0">
                  <c:v>2012</c:v>
                </c:pt>
                <c:pt idx="1">
                  <c:v>2013</c:v>
                </c:pt>
                <c:pt idx="2">
                  <c:v>2014</c:v>
                </c:pt>
                <c:pt idx="3">
                  <c:v>2015</c:v>
                </c:pt>
                <c:pt idx="4">
                  <c:v>2016</c:v>
                </c:pt>
              </c:strCache>
            </c:strRef>
          </c:cat>
          <c:val>
            <c:numRef>
              <c:f>'PIVOT TABLE'!$B$49:$B$53</c:f>
              <c:numCache>
                <c:formatCode>0</c:formatCode>
                <c:ptCount val="5"/>
                <c:pt idx="0">
                  <c:v>106</c:v>
                </c:pt>
                <c:pt idx="1">
                  <c:v>85</c:v>
                </c:pt>
                <c:pt idx="2">
                  <c:v>119</c:v>
                </c:pt>
                <c:pt idx="3">
                  <c:v>124</c:v>
                </c:pt>
                <c:pt idx="4">
                  <c:v>74</c:v>
                </c:pt>
              </c:numCache>
            </c:numRef>
          </c:val>
          <c:smooth val="0"/>
          <c:extLst>
            <c:ext xmlns:c16="http://schemas.microsoft.com/office/drawing/2014/chart" uri="{C3380CC4-5D6E-409C-BE32-E72D297353CC}">
              <c16:uniqueId val="{00000000-04E4-41F3-924A-28A387D95CFF}"/>
            </c:ext>
          </c:extLst>
        </c:ser>
        <c:dLbls>
          <c:showLegendKey val="0"/>
          <c:showVal val="0"/>
          <c:showCatName val="0"/>
          <c:showSerName val="0"/>
          <c:showPercent val="0"/>
          <c:showBubbleSize val="0"/>
        </c:dLbls>
        <c:marker val="1"/>
        <c:smooth val="0"/>
        <c:axId val="1629861503"/>
        <c:axId val="1629851903"/>
      </c:lineChart>
      <c:catAx>
        <c:axId val="1629861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9851903"/>
        <c:crosses val="autoZero"/>
        <c:auto val="1"/>
        <c:lblAlgn val="ctr"/>
        <c:lblOffset val="100"/>
        <c:noMultiLvlLbl val="0"/>
      </c:catAx>
      <c:valAx>
        <c:axId val="162985190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98615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[Movie Performance Dashboard.xlsx]PIVOT TABLE!PivotTable6</c:name>
    <c:fmtId val="2"/>
  </c:pivotSource>
  <c:chart>
    <c:autoTitleDeleted val="1"/>
    <c:pivotFmts>
      <c:pivotFmt>
        <c:idx val="0"/>
        <c:spPr>
          <a:solidFill>
            <a:schemeClr val="accent1"/>
          </a:solidFill>
          <a:ln>
            <a:noFill/>
          </a:ln>
          <a:effectLst/>
        </c:spPr>
        <c:marker>
          <c:symbol val="none"/>
        </c:marker>
        <c:dLbl>
          <c:idx val="0"/>
          <c:numFmt formatCode="0.00,,,\ &quot;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numFmt formatCode="0.00,,,\ &quot;B&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9.2333333333333323E-2"/>
                  <c:h val="6.0115923009623796E-2"/>
                </c:manualLayout>
              </c15:layout>
            </c:ext>
          </c:extLst>
        </c:dLbl>
      </c:pivotFmt>
      <c:pivotFmt>
        <c:idx val="2"/>
        <c:spPr>
          <a:solidFill>
            <a:schemeClr val="accent1"/>
          </a:solidFill>
          <a:ln>
            <a:noFill/>
          </a:ln>
          <a:effectLst/>
        </c:spPr>
        <c:dLbl>
          <c:idx val="0"/>
          <c:layout>
            <c:manualLayout>
              <c:x val="0"/>
              <c:y val="-2.7777777777777863E-2"/>
            </c:manualLayout>
          </c:layout>
          <c:numFmt formatCode="0.00,,,\ &quot;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numFmt formatCode="0.00,,,\ &quot;B&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8.5222222222222227E-2"/>
                  <c:h val="6.0115923009623796E-2"/>
                </c:manualLayout>
              </c15:layout>
            </c:ext>
          </c:extLst>
        </c:dLbl>
      </c:pivotFmt>
      <c:pivotFmt>
        <c:idx val="4"/>
        <c:spPr>
          <a:solidFill>
            <a:schemeClr val="accent1"/>
          </a:solidFill>
          <a:ln>
            <a:noFill/>
          </a:ln>
          <a:effectLst/>
        </c:spPr>
        <c:dLbl>
          <c:idx val="0"/>
          <c:layout>
            <c:manualLayout>
              <c:x val="-5.0925337632079971E-17"/>
              <c:y val="-3.7037037037037035E-2"/>
            </c:manualLayout>
          </c:layout>
          <c:numFmt formatCode="0.00,,,\ &quot;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5.0925337632079971E-17"/>
              <c:y val="9.2592592592592587E-3"/>
            </c:manualLayout>
          </c:layout>
          <c:numFmt formatCode="0.00,,,\ &quot;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1.0185067526415994E-16"/>
              <c:y val="1.3888888888888805E-2"/>
            </c:manualLayout>
          </c:layout>
          <c:numFmt formatCode="0.00,,,\ &quot;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1.0185067526415994E-16"/>
              <c:y val="-4.6296296296296294E-2"/>
            </c:manualLayout>
          </c:layout>
          <c:numFmt formatCode="0.00,,,\ &quot;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1.0185067526415994E-16"/>
              <c:y val="9.2592592592592587E-3"/>
            </c:manualLayout>
          </c:layout>
          <c:numFmt formatCode="0.00,,,\ &quot;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0"/>
              <c:y val="-4.1666666666666664E-2"/>
            </c:manualLayout>
          </c:layout>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0"/>
              <c:y val="1.3888888888888888E-2"/>
            </c:manualLayout>
          </c:layout>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1.0185067526415994E-16"/>
              <c:y val="-7.4074074074074153E-2"/>
            </c:manualLayout>
          </c:layout>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2.7777777777778798E-3"/>
              <c:y val="1.3888888888888888E-2"/>
            </c:manualLayout>
          </c:layout>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0"/>
              <c:y val="-6.0185185185185182E-2"/>
            </c:manualLayout>
          </c:layout>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0"/>
              <c:y val="1.3888888888888888E-2"/>
            </c:manualLayout>
          </c:layout>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0"/>
              <c:y val="-6.0185185185185272E-2"/>
            </c:manualLayout>
          </c:layout>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numFmt formatCode="0.00,,,\ &quot;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numFmt formatCode="0.00,,,\ &quot;B&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9.2333333333333323E-2"/>
                  <c:h val="6.0115923009623796E-2"/>
                </c:manualLayout>
              </c15:layout>
            </c:ext>
          </c:extLst>
        </c:dLbl>
      </c:pivotFmt>
      <c:pivotFmt>
        <c:idx val="18"/>
        <c:spPr>
          <a:solidFill>
            <a:schemeClr val="accent1"/>
          </a:solidFill>
          <a:ln>
            <a:noFill/>
          </a:ln>
          <a:effectLst/>
        </c:spPr>
        <c:dLbl>
          <c:idx val="0"/>
          <c:numFmt formatCode="0.00,,,\ &quot;B&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8.5222222222222227E-2"/>
                  <c:h val="6.0115923009623796E-2"/>
                </c:manualLayout>
              </c15:layout>
            </c:ext>
          </c:extLst>
        </c:dLbl>
      </c:pivotFmt>
      <c:pivotFmt>
        <c:idx val="19"/>
        <c:spPr>
          <a:solidFill>
            <a:schemeClr val="accent1"/>
          </a:solidFill>
          <a:ln>
            <a:noFill/>
          </a:ln>
          <a:effectLst/>
        </c:spPr>
        <c:dLbl>
          <c:idx val="0"/>
          <c:layout>
            <c:manualLayout>
              <c:x val="0"/>
              <c:y val="-2.7777777777777863E-2"/>
            </c:manualLayout>
          </c:layout>
          <c:numFmt formatCode="0.00,,,\ &quot;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dLbl>
          <c:idx val="0"/>
          <c:layout>
            <c:manualLayout>
              <c:x val="-5.0925337632079971E-17"/>
              <c:y val="9.2592592592592587E-3"/>
            </c:manualLayout>
          </c:layout>
          <c:numFmt formatCode="0.00,,,\ &quot;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dLbl>
          <c:idx val="0"/>
          <c:layout>
            <c:manualLayout>
              <c:x val="-5.0925337632079971E-17"/>
              <c:y val="-3.7037037037037035E-2"/>
            </c:manualLayout>
          </c:layout>
          <c:numFmt formatCode="0.00,,,\ &quot;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dLbl>
          <c:idx val="0"/>
          <c:layout>
            <c:manualLayout>
              <c:x val="-1.0185067526415994E-16"/>
              <c:y val="1.3888888888888805E-2"/>
            </c:manualLayout>
          </c:layout>
          <c:numFmt formatCode="0.00,,,\ &quot;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dLbl>
          <c:idx val="0"/>
          <c:layout>
            <c:manualLayout>
              <c:x val="-1.0185067526415994E-16"/>
              <c:y val="-4.6296296296296294E-2"/>
            </c:manualLayout>
          </c:layout>
          <c:numFmt formatCode="0.00,,,\ &quot;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dLbl>
          <c:idx val="0"/>
          <c:layout>
            <c:manualLayout>
              <c:x val="-1.0185067526415994E-16"/>
              <c:y val="9.2592592592592587E-3"/>
            </c:manualLayout>
          </c:layout>
          <c:numFmt formatCode="0.00,,,\ &quot;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dLbl>
          <c:idx val="0"/>
          <c:layout>
            <c:manualLayout>
              <c:x val="0"/>
              <c:y val="-4.1666666666666664E-2"/>
            </c:manualLayout>
          </c:layout>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dLbl>
          <c:idx val="0"/>
          <c:layout>
            <c:manualLayout>
              <c:x val="0"/>
              <c:y val="1.3888888888888888E-2"/>
            </c:manualLayout>
          </c:layout>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dLbl>
          <c:idx val="0"/>
          <c:layout>
            <c:manualLayout>
              <c:x val="1.0185067526415994E-16"/>
              <c:y val="-7.4074074074074153E-2"/>
            </c:manualLayout>
          </c:layout>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dLbl>
          <c:idx val="0"/>
          <c:layout>
            <c:manualLayout>
              <c:x val="-2.7777777777778798E-3"/>
              <c:y val="1.3888888888888888E-2"/>
            </c:manualLayout>
          </c:layout>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dLbl>
          <c:idx val="0"/>
          <c:layout>
            <c:manualLayout>
              <c:x val="0"/>
              <c:y val="-6.0185185185185182E-2"/>
            </c:manualLayout>
          </c:layout>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dLbl>
          <c:idx val="0"/>
          <c:layout>
            <c:manualLayout>
              <c:x val="0"/>
              <c:y val="1.3888888888888888E-2"/>
            </c:manualLayout>
          </c:layout>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dLbl>
          <c:idx val="0"/>
          <c:layout>
            <c:manualLayout>
              <c:x val="0"/>
              <c:y val="-6.0185185185185272E-2"/>
            </c:manualLayout>
          </c:layout>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2">
              <a:lumMod val="50000"/>
            </a:schemeClr>
          </a:solidFill>
          <a:ln>
            <a:noFill/>
          </a:ln>
          <a:effectLst/>
        </c:spPr>
        <c:marker>
          <c:symbol val="none"/>
        </c:marker>
        <c:dLbl>
          <c:idx val="0"/>
          <c:numFmt formatCode="0.00,,,\ &quot;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2">
              <a:lumMod val="50000"/>
            </a:schemeClr>
          </a:solidFill>
          <a:ln>
            <a:noFill/>
          </a:ln>
          <a:effectLst/>
        </c:spPr>
        <c:dLbl>
          <c:idx val="0"/>
          <c:numFmt formatCode="0.00,,,\ &quot;B&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9.2333333333333323E-2"/>
                  <c:h val="6.0115923009623796E-2"/>
                </c:manualLayout>
              </c15:layout>
            </c:ext>
          </c:extLst>
        </c:dLbl>
      </c:pivotFmt>
      <c:pivotFmt>
        <c:idx val="34"/>
        <c:spPr>
          <a:solidFill>
            <a:schemeClr val="accent2">
              <a:lumMod val="50000"/>
            </a:schemeClr>
          </a:solidFill>
          <a:ln>
            <a:noFill/>
          </a:ln>
          <a:effectLst/>
        </c:spPr>
        <c:dLbl>
          <c:idx val="0"/>
          <c:numFmt formatCode="0.00,,,\ &quot;B&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8.5222222222222227E-2"/>
                  <c:h val="6.0115923009623796E-2"/>
                </c:manualLayout>
              </c15:layout>
            </c:ext>
          </c:extLst>
        </c:dLbl>
      </c:pivotFmt>
      <c:pivotFmt>
        <c:idx val="35"/>
        <c:spPr>
          <a:solidFill>
            <a:schemeClr val="accent2">
              <a:lumMod val="50000"/>
            </a:schemeClr>
          </a:solidFill>
          <a:ln>
            <a:noFill/>
          </a:ln>
          <a:effectLst/>
        </c:spPr>
        <c:dLbl>
          <c:idx val="0"/>
          <c:layout>
            <c:manualLayout>
              <c:x val="0"/>
              <c:y val="-2.7777777777777863E-2"/>
            </c:manualLayout>
          </c:layout>
          <c:numFmt formatCode="0.00,,,\ &quot;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2">
              <a:lumMod val="50000"/>
            </a:schemeClr>
          </a:solidFill>
          <a:ln>
            <a:noFill/>
          </a:ln>
          <a:effectLst/>
        </c:spPr>
        <c:dLbl>
          <c:idx val="0"/>
          <c:layout>
            <c:manualLayout>
              <c:x val="-5.0925337632079971E-17"/>
              <c:y val="9.2592592592592587E-3"/>
            </c:manualLayout>
          </c:layout>
          <c:numFmt formatCode="0.00,,,\ &quot;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2">
              <a:lumMod val="50000"/>
            </a:schemeClr>
          </a:solidFill>
          <a:ln>
            <a:noFill/>
          </a:ln>
          <a:effectLst/>
        </c:spPr>
        <c:dLbl>
          <c:idx val="0"/>
          <c:layout>
            <c:manualLayout>
              <c:x val="-5.0925337632079971E-17"/>
              <c:y val="-3.7037037037037035E-2"/>
            </c:manualLayout>
          </c:layout>
          <c:numFmt formatCode="0.00,,,\ &quot;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2">
              <a:lumMod val="50000"/>
            </a:schemeClr>
          </a:solidFill>
          <a:ln>
            <a:noFill/>
          </a:ln>
          <a:effectLst/>
        </c:spPr>
        <c:dLbl>
          <c:idx val="0"/>
          <c:layout>
            <c:manualLayout>
              <c:x val="-1.0185067526415994E-16"/>
              <c:y val="1.3888888888888805E-2"/>
            </c:manualLayout>
          </c:layout>
          <c:numFmt formatCode="0.00,,,\ &quot;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2">
              <a:lumMod val="50000"/>
            </a:schemeClr>
          </a:solidFill>
          <a:ln>
            <a:noFill/>
          </a:ln>
          <a:effectLst/>
        </c:spPr>
        <c:dLbl>
          <c:idx val="0"/>
          <c:layout>
            <c:manualLayout>
              <c:x val="-1.0185067526415994E-16"/>
              <c:y val="-4.6296296296296294E-2"/>
            </c:manualLayout>
          </c:layout>
          <c:numFmt formatCode="0.00,,,\ &quot;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2">
              <a:lumMod val="50000"/>
            </a:schemeClr>
          </a:solidFill>
          <a:ln>
            <a:noFill/>
          </a:ln>
          <a:effectLst/>
        </c:spPr>
        <c:dLbl>
          <c:idx val="0"/>
          <c:layout>
            <c:manualLayout>
              <c:x val="-1.0185067526415994E-16"/>
              <c:y val="9.2592592592592587E-3"/>
            </c:manualLayout>
          </c:layout>
          <c:numFmt formatCode="0.00,,,\ &quot;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2">
              <a:lumMod val="50000"/>
            </a:schemeClr>
          </a:solidFill>
          <a:ln>
            <a:noFill/>
          </a:ln>
          <a:effectLst/>
        </c:spPr>
        <c:dLbl>
          <c:idx val="0"/>
          <c:layout>
            <c:manualLayout>
              <c:x val="0"/>
              <c:y val="-4.1666666666666664E-2"/>
            </c:manualLayout>
          </c:layout>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2">
              <a:lumMod val="50000"/>
            </a:schemeClr>
          </a:solidFill>
          <a:ln>
            <a:noFill/>
          </a:ln>
          <a:effectLst/>
        </c:spPr>
        <c:dLbl>
          <c:idx val="0"/>
          <c:layout>
            <c:manualLayout>
              <c:x val="0"/>
              <c:y val="1.3888888888888888E-2"/>
            </c:manualLayout>
          </c:layout>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2">
              <a:lumMod val="50000"/>
            </a:schemeClr>
          </a:solidFill>
          <a:ln>
            <a:noFill/>
          </a:ln>
          <a:effectLst/>
        </c:spPr>
        <c:dLbl>
          <c:idx val="0"/>
          <c:layout>
            <c:manualLayout>
              <c:x val="1.0185067526415994E-16"/>
              <c:y val="-7.4074074074074153E-2"/>
            </c:manualLayout>
          </c:layout>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2">
              <a:lumMod val="50000"/>
            </a:schemeClr>
          </a:solidFill>
          <a:ln>
            <a:noFill/>
          </a:ln>
          <a:effectLst/>
        </c:spPr>
        <c:dLbl>
          <c:idx val="0"/>
          <c:layout>
            <c:manualLayout>
              <c:x val="-2.7777777777778798E-3"/>
              <c:y val="1.3888888888888888E-2"/>
            </c:manualLayout>
          </c:layout>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2">
              <a:lumMod val="50000"/>
            </a:schemeClr>
          </a:solidFill>
          <a:ln>
            <a:noFill/>
          </a:ln>
          <a:effectLst/>
        </c:spPr>
        <c:dLbl>
          <c:idx val="0"/>
          <c:layout>
            <c:manualLayout>
              <c:x val="0"/>
              <c:y val="-6.0185185185185182E-2"/>
            </c:manualLayout>
          </c:layout>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2">
              <a:lumMod val="50000"/>
            </a:schemeClr>
          </a:solidFill>
          <a:ln>
            <a:noFill/>
          </a:ln>
          <a:effectLst/>
        </c:spPr>
        <c:dLbl>
          <c:idx val="0"/>
          <c:layout>
            <c:manualLayout>
              <c:x val="0"/>
              <c:y val="1.3888888888888888E-2"/>
            </c:manualLayout>
          </c:layout>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2">
              <a:lumMod val="50000"/>
            </a:schemeClr>
          </a:solidFill>
          <a:ln>
            <a:noFill/>
          </a:ln>
          <a:effectLst/>
        </c:spPr>
        <c:dLbl>
          <c:idx val="0"/>
          <c:layout>
            <c:manualLayout>
              <c:x val="0"/>
              <c:y val="-6.0185185185185272E-2"/>
            </c:manualLayout>
          </c:layout>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606736657917762"/>
          <c:y val="5.4080629301868237E-2"/>
          <c:w val="0.77337707786526688"/>
          <c:h val="0.63702219744655808"/>
        </c:manualLayout>
      </c:layout>
      <c:barChart>
        <c:barDir val="col"/>
        <c:grouping val="clustered"/>
        <c:varyColors val="0"/>
        <c:ser>
          <c:idx val="0"/>
          <c:order val="0"/>
          <c:tx>
            <c:strRef>
              <c:f>'PIVOT TABLE'!$B$28</c:f>
              <c:strCache>
                <c:ptCount val="1"/>
                <c:pt idx="0">
                  <c:v>Total</c:v>
                </c:pt>
              </c:strCache>
            </c:strRef>
          </c:tx>
          <c:spPr>
            <a:solidFill>
              <a:schemeClr val="accent2">
                <a:lumMod val="50000"/>
              </a:schemeClr>
            </a:solidFill>
            <a:ln>
              <a:noFill/>
            </a:ln>
            <a:effectLst/>
          </c:spPr>
          <c:invertIfNegative val="0"/>
          <c:dPt>
            <c:idx val="0"/>
            <c:invertIfNegative val="0"/>
            <c:bubble3D val="0"/>
            <c:spPr>
              <a:solidFill>
                <a:schemeClr val="accent2">
                  <a:lumMod val="50000"/>
                </a:schemeClr>
              </a:solidFill>
              <a:ln>
                <a:noFill/>
              </a:ln>
              <a:effectLst/>
            </c:spPr>
            <c:extLst>
              <c:ext xmlns:c16="http://schemas.microsoft.com/office/drawing/2014/chart" uri="{C3380CC4-5D6E-409C-BE32-E72D297353CC}">
                <c16:uniqueId val="{00000000-723F-4BAA-AAE7-B053518E67C7}"/>
              </c:ext>
            </c:extLst>
          </c:dPt>
          <c:dPt>
            <c:idx val="2"/>
            <c:invertIfNegative val="0"/>
            <c:bubble3D val="0"/>
            <c:spPr>
              <a:solidFill>
                <a:schemeClr val="accent2">
                  <a:lumMod val="50000"/>
                </a:schemeClr>
              </a:solidFill>
              <a:ln>
                <a:noFill/>
              </a:ln>
              <a:effectLst/>
            </c:spPr>
            <c:extLst>
              <c:ext xmlns:c16="http://schemas.microsoft.com/office/drawing/2014/chart" uri="{C3380CC4-5D6E-409C-BE32-E72D297353CC}">
                <c16:uniqueId val="{00000001-723F-4BAA-AAE7-B053518E67C7}"/>
              </c:ext>
            </c:extLst>
          </c:dPt>
          <c:dPt>
            <c:idx val="3"/>
            <c:invertIfNegative val="0"/>
            <c:bubble3D val="0"/>
            <c:spPr>
              <a:solidFill>
                <a:schemeClr val="accent2">
                  <a:lumMod val="50000"/>
                </a:schemeClr>
              </a:solidFill>
              <a:ln>
                <a:noFill/>
              </a:ln>
              <a:effectLst/>
            </c:spPr>
            <c:extLst>
              <c:ext xmlns:c16="http://schemas.microsoft.com/office/drawing/2014/chart" uri="{C3380CC4-5D6E-409C-BE32-E72D297353CC}">
                <c16:uniqueId val="{00000002-723F-4BAA-AAE7-B053518E67C7}"/>
              </c:ext>
            </c:extLst>
          </c:dPt>
          <c:dPt>
            <c:idx val="5"/>
            <c:invertIfNegative val="0"/>
            <c:bubble3D val="0"/>
            <c:spPr>
              <a:solidFill>
                <a:schemeClr val="accent2">
                  <a:lumMod val="50000"/>
                </a:schemeClr>
              </a:solidFill>
              <a:ln>
                <a:noFill/>
              </a:ln>
              <a:effectLst/>
            </c:spPr>
            <c:extLst>
              <c:ext xmlns:c16="http://schemas.microsoft.com/office/drawing/2014/chart" uri="{C3380CC4-5D6E-409C-BE32-E72D297353CC}">
                <c16:uniqueId val="{00000003-723F-4BAA-AAE7-B053518E67C7}"/>
              </c:ext>
            </c:extLst>
          </c:dPt>
          <c:dPt>
            <c:idx val="6"/>
            <c:invertIfNegative val="0"/>
            <c:bubble3D val="0"/>
            <c:spPr>
              <a:solidFill>
                <a:schemeClr val="accent2">
                  <a:lumMod val="50000"/>
                </a:schemeClr>
              </a:solidFill>
              <a:ln>
                <a:noFill/>
              </a:ln>
              <a:effectLst/>
            </c:spPr>
            <c:extLst>
              <c:ext xmlns:c16="http://schemas.microsoft.com/office/drawing/2014/chart" uri="{C3380CC4-5D6E-409C-BE32-E72D297353CC}">
                <c16:uniqueId val="{00000004-723F-4BAA-AAE7-B053518E67C7}"/>
              </c:ext>
            </c:extLst>
          </c:dPt>
          <c:dPt>
            <c:idx val="7"/>
            <c:invertIfNegative val="0"/>
            <c:bubble3D val="0"/>
            <c:spPr>
              <a:solidFill>
                <a:schemeClr val="accent2">
                  <a:lumMod val="50000"/>
                </a:schemeClr>
              </a:solidFill>
              <a:ln>
                <a:noFill/>
              </a:ln>
              <a:effectLst/>
            </c:spPr>
            <c:extLst>
              <c:ext xmlns:c16="http://schemas.microsoft.com/office/drawing/2014/chart" uri="{C3380CC4-5D6E-409C-BE32-E72D297353CC}">
                <c16:uniqueId val="{00000005-723F-4BAA-AAE7-B053518E67C7}"/>
              </c:ext>
            </c:extLst>
          </c:dPt>
          <c:dPt>
            <c:idx val="8"/>
            <c:invertIfNegative val="0"/>
            <c:bubble3D val="0"/>
            <c:spPr>
              <a:solidFill>
                <a:schemeClr val="accent2">
                  <a:lumMod val="50000"/>
                </a:schemeClr>
              </a:solidFill>
              <a:ln>
                <a:noFill/>
              </a:ln>
              <a:effectLst/>
            </c:spPr>
            <c:extLst>
              <c:ext xmlns:c16="http://schemas.microsoft.com/office/drawing/2014/chart" uri="{C3380CC4-5D6E-409C-BE32-E72D297353CC}">
                <c16:uniqueId val="{00000006-723F-4BAA-AAE7-B053518E67C7}"/>
              </c:ext>
            </c:extLst>
          </c:dPt>
          <c:dPt>
            <c:idx val="9"/>
            <c:invertIfNegative val="0"/>
            <c:bubble3D val="0"/>
            <c:spPr>
              <a:solidFill>
                <a:schemeClr val="accent2">
                  <a:lumMod val="50000"/>
                </a:schemeClr>
              </a:solidFill>
              <a:ln>
                <a:noFill/>
              </a:ln>
              <a:effectLst/>
            </c:spPr>
            <c:extLst>
              <c:ext xmlns:c16="http://schemas.microsoft.com/office/drawing/2014/chart" uri="{C3380CC4-5D6E-409C-BE32-E72D297353CC}">
                <c16:uniqueId val="{00000007-723F-4BAA-AAE7-B053518E67C7}"/>
              </c:ext>
            </c:extLst>
          </c:dPt>
          <c:dPt>
            <c:idx val="10"/>
            <c:invertIfNegative val="0"/>
            <c:bubble3D val="0"/>
            <c:spPr>
              <a:solidFill>
                <a:schemeClr val="accent2">
                  <a:lumMod val="50000"/>
                </a:schemeClr>
              </a:solidFill>
              <a:ln>
                <a:noFill/>
              </a:ln>
              <a:effectLst/>
            </c:spPr>
            <c:extLst>
              <c:ext xmlns:c16="http://schemas.microsoft.com/office/drawing/2014/chart" uri="{C3380CC4-5D6E-409C-BE32-E72D297353CC}">
                <c16:uniqueId val="{00000008-723F-4BAA-AAE7-B053518E67C7}"/>
              </c:ext>
            </c:extLst>
          </c:dPt>
          <c:dPt>
            <c:idx val="11"/>
            <c:invertIfNegative val="0"/>
            <c:bubble3D val="0"/>
            <c:spPr>
              <a:solidFill>
                <a:schemeClr val="accent2">
                  <a:lumMod val="50000"/>
                </a:schemeClr>
              </a:solidFill>
              <a:ln>
                <a:noFill/>
              </a:ln>
              <a:effectLst/>
            </c:spPr>
            <c:extLst>
              <c:ext xmlns:c16="http://schemas.microsoft.com/office/drawing/2014/chart" uri="{C3380CC4-5D6E-409C-BE32-E72D297353CC}">
                <c16:uniqueId val="{00000009-723F-4BAA-AAE7-B053518E67C7}"/>
              </c:ext>
            </c:extLst>
          </c:dPt>
          <c:dPt>
            <c:idx val="12"/>
            <c:invertIfNegative val="0"/>
            <c:bubble3D val="0"/>
            <c:spPr>
              <a:solidFill>
                <a:schemeClr val="accent2">
                  <a:lumMod val="50000"/>
                </a:schemeClr>
              </a:solidFill>
              <a:ln>
                <a:noFill/>
              </a:ln>
              <a:effectLst/>
            </c:spPr>
            <c:extLst>
              <c:ext xmlns:c16="http://schemas.microsoft.com/office/drawing/2014/chart" uri="{C3380CC4-5D6E-409C-BE32-E72D297353CC}">
                <c16:uniqueId val="{0000000A-723F-4BAA-AAE7-B053518E67C7}"/>
              </c:ext>
            </c:extLst>
          </c:dPt>
          <c:dPt>
            <c:idx val="13"/>
            <c:invertIfNegative val="0"/>
            <c:bubble3D val="0"/>
            <c:spPr>
              <a:solidFill>
                <a:schemeClr val="accent2">
                  <a:lumMod val="50000"/>
                </a:schemeClr>
              </a:solidFill>
              <a:ln>
                <a:noFill/>
              </a:ln>
              <a:effectLst/>
            </c:spPr>
            <c:extLst>
              <c:ext xmlns:c16="http://schemas.microsoft.com/office/drawing/2014/chart" uri="{C3380CC4-5D6E-409C-BE32-E72D297353CC}">
                <c16:uniqueId val="{0000000B-723F-4BAA-AAE7-B053518E67C7}"/>
              </c:ext>
            </c:extLst>
          </c:dPt>
          <c:dPt>
            <c:idx val="14"/>
            <c:invertIfNegative val="0"/>
            <c:bubble3D val="0"/>
            <c:spPr>
              <a:solidFill>
                <a:schemeClr val="accent2">
                  <a:lumMod val="50000"/>
                </a:schemeClr>
              </a:solidFill>
              <a:ln>
                <a:noFill/>
              </a:ln>
              <a:effectLst/>
            </c:spPr>
            <c:extLst>
              <c:ext xmlns:c16="http://schemas.microsoft.com/office/drawing/2014/chart" uri="{C3380CC4-5D6E-409C-BE32-E72D297353CC}">
                <c16:uniqueId val="{0000000C-723F-4BAA-AAE7-B053518E67C7}"/>
              </c:ext>
            </c:extLst>
          </c:dPt>
          <c:dPt>
            <c:idx val="15"/>
            <c:invertIfNegative val="0"/>
            <c:bubble3D val="0"/>
            <c:spPr>
              <a:solidFill>
                <a:schemeClr val="accent2">
                  <a:lumMod val="50000"/>
                </a:schemeClr>
              </a:solidFill>
              <a:ln>
                <a:noFill/>
              </a:ln>
              <a:effectLst/>
            </c:spPr>
            <c:extLst>
              <c:ext xmlns:c16="http://schemas.microsoft.com/office/drawing/2014/chart" uri="{C3380CC4-5D6E-409C-BE32-E72D297353CC}">
                <c16:uniqueId val="{0000000D-723F-4BAA-AAE7-B053518E67C7}"/>
              </c:ext>
            </c:extLst>
          </c:dPt>
          <c:dPt>
            <c:idx val="16"/>
            <c:invertIfNegative val="0"/>
            <c:bubble3D val="0"/>
            <c:spPr>
              <a:solidFill>
                <a:schemeClr val="accent2">
                  <a:lumMod val="50000"/>
                </a:schemeClr>
              </a:solidFill>
              <a:ln>
                <a:noFill/>
              </a:ln>
              <a:effectLst/>
            </c:spPr>
            <c:extLst>
              <c:ext xmlns:c16="http://schemas.microsoft.com/office/drawing/2014/chart" uri="{C3380CC4-5D6E-409C-BE32-E72D297353CC}">
                <c16:uniqueId val="{0000000E-723F-4BAA-AAE7-B053518E67C7}"/>
              </c:ext>
            </c:extLst>
          </c:dPt>
          <c:dLbls>
            <c:dLbl>
              <c:idx val="0"/>
              <c:numFmt formatCode="0.00,,,\ &quot;B&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9.2333333333333323E-2"/>
                      <c:h val="6.0115923009623796E-2"/>
                    </c:manualLayout>
                  </c15:layout>
                </c:ext>
                <c:ext xmlns:c16="http://schemas.microsoft.com/office/drawing/2014/chart" uri="{C3380CC4-5D6E-409C-BE32-E72D297353CC}">
                  <c16:uniqueId val="{00000000-723F-4BAA-AAE7-B053518E67C7}"/>
                </c:ext>
              </c:extLst>
            </c:dLbl>
            <c:dLbl>
              <c:idx val="2"/>
              <c:numFmt formatCode="0.00,,,\ &quot;B&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8.5222222222222227E-2"/>
                      <c:h val="6.0115923009623796E-2"/>
                    </c:manualLayout>
                  </c15:layout>
                </c:ext>
                <c:ext xmlns:c16="http://schemas.microsoft.com/office/drawing/2014/chart" uri="{C3380CC4-5D6E-409C-BE32-E72D297353CC}">
                  <c16:uniqueId val="{00000001-723F-4BAA-AAE7-B053518E67C7}"/>
                </c:ext>
              </c:extLst>
            </c:dLbl>
            <c:dLbl>
              <c:idx val="3"/>
              <c:layout>
                <c:manualLayout>
                  <c:x val="0"/>
                  <c:y val="-2.777777777777786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23F-4BAA-AAE7-B053518E67C7}"/>
                </c:ext>
              </c:extLst>
            </c:dLbl>
            <c:dLbl>
              <c:idx val="5"/>
              <c:layout>
                <c:manualLayout>
                  <c:x val="-5.0925337632079971E-17"/>
                  <c:y val="9.259259259259258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23F-4BAA-AAE7-B053518E67C7}"/>
                </c:ext>
              </c:extLst>
            </c:dLbl>
            <c:dLbl>
              <c:idx val="6"/>
              <c:layout>
                <c:manualLayout>
                  <c:x val="-5.0925337632079971E-17"/>
                  <c:y val="-3.703703703703703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23F-4BAA-AAE7-B053518E67C7}"/>
                </c:ext>
              </c:extLst>
            </c:dLbl>
            <c:dLbl>
              <c:idx val="7"/>
              <c:layout>
                <c:manualLayout>
                  <c:x val="-1.0185067526415994E-16"/>
                  <c:y val="1.388888888888880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23F-4BAA-AAE7-B053518E67C7}"/>
                </c:ext>
              </c:extLst>
            </c:dLbl>
            <c:dLbl>
              <c:idx val="8"/>
              <c:layout>
                <c:manualLayout>
                  <c:x val="-1.0185067526415994E-16"/>
                  <c:y val="-4.629629629629629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23F-4BAA-AAE7-B053518E67C7}"/>
                </c:ext>
              </c:extLst>
            </c:dLbl>
            <c:dLbl>
              <c:idx val="9"/>
              <c:layout>
                <c:manualLayout>
                  <c:x val="-1.0185067526415994E-16"/>
                  <c:y val="9.259259259259258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23F-4BAA-AAE7-B053518E67C7}"/>
                </c:ext>
              </c:extLst>
            </c:dLbl>
            <c:dLbl>
              <c:idx val="10"/>
              <c:layout>
                <c:manualLayout>
                  <c:x val="0"/>
                  <c:y val="-4.1666666666666664E-2"/>
                </c:manualLayout>
              </c:layout>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23F-4BAA-AAE7-B053518E67C7}"/>
                </c:ext>
              </c:extLst>
            </c:dLbl>
            <c:dLbl>
              <c:idx val="11"/>
              <c:layout>
                <c:manualLayout>
                  <c:x val="0"/>
                  <c:y val="1.3888888888888888E-2"/>
                </c:manualLayout>
              </c:layout>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23F-4BAA-AAE7-B053518E67C7}"/>
                </c:ext>
              </c:extLst>
            </c:dLbl>
            <c:dLbl>
              <c:idx val="12"/>
              <c:layout>
                <c:manualLayout>
                  <c:x val="1.0185067526415994E-16"/>
                  <c:y val="-7.4074074074074153E-2"/>
                </c:manualLayout>
              </c:layout>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23F-4BAA-AAE7-B053518E67C7}"/>
                </c:ext>
              </c:extLst>
            </c:dLbl>
            <c:dLbl>
              <c:idx val="13"/>
              <c:layout>
                <c:manualLayout>
                  <c:x val="-2.7777777777778798E-3"/>
                  <c:y val="1.3888888888888888E-2"/>
                </c:manualLayout>
              </c:layout>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23F-4BAA-AAE7-B053518E67C7}"/>
                </c:ext>
              </c:extLst>
            </c:dLbl>
            <c:dLbl>
              <c:idx val="14"/>
              <c:layout>
                <c:manualLayout>
                  <c:x val="0"/>
                  <c:y val="-6.0185185185185182E-2"/>
                </c:manualLayout>
              </c:layout>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23F-4BAA-AAE7-B053518E67C7}"/>
                </c:ext>
              </c:extLst>
            </c:dLbl>
            <c:dLbl>
              <c:idx val="15"/>
              <c:layout>
                <c:manualLayout>
                  <c:x val="0"/>
                  <c:y val="1.3888888888888888E-2"/>
                </c:manualLayout>
              </c:layout>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23F-4BAA-AAE7-B053518E67C7}"/>
                </c:ext>
              </c:extLst>
            </c:dLbl>
            <c:dLbl>
              <c:idx val="16"/>
              <c:layout>
                <c:manualLayout>
                  <c:x val="0"/>
                  <c:y val="-6.0185185185185272E-2"/>
                </c:manualLayout>
              </c:layout>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723F-4BAA-AAE7-B053518E67C7}"/>
                </c:ext>
              </c:extLst>
            </c:dLbl>
            <c:numFmt formatCode="0.00,,,\ &quot;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TABLE'!$A$29:$A$45</c:f>
              <c:strCache>
                <c:ptCount val="17"/>
                <c:pt idx="0">
                  <c:v>Action</c:v>
                </c:pt>
                <c:pt idx="1">
                  <c:v>Comedy</c:v>
                </c:pt>
                <c:pt idx="2">
                  <c:v>Drama</c:v>
                </c:pt>
                <c:pt idx="3">
                  <c:v>Sci-Fi</c:v>
                </c:pt>
                <c:pt idx="4">
                  <c:v>Adventure</c:v>
                </c:pt>
                <c:pt idx="5">
                  <c:v>Horror</c:v>
                </c:pt>
                <c:pt idx="6">
                  <c:v>Family</c:v>
                </c:pt>
                <c:pt idx="7">
                  <c:v>Fantasy</c:v>
                </c:pt>
                <c:pt idx="8">
                  <c:v>Thriller</c:v>
                </c:pt>
                <c:pt idx="9">
                  <c:v>Crime</c:v>
                </c:pt>
                <c:pt idx="10">
                  <c:v>Biography</c:v>
                </c:pt>
                <c:pt idx="11">
                  <c:v>Animation</c:v>
                </c:pt>
                <c:pt idx="12">
                  <c:v>Romance</c:v>
                </c:pt>
                <c:pt idx="13">
                  <c:v>Musical</c:v>
                </c:pt>
                <c:pt idx="14">
                  <c:v>Mystery</c:v>
                </c:pt>
                <c:pt idx="15">
                  <c:v>Religious</c:v>
                </c:pt>
                <c:pt idx="16">
                  <c:v>Documentary</c:v>
                </c:pt>
              </c:strCache>
            </c:strRef>
          </c:cat>
          <c:val>
            <c:numRef>
              <c:f>'PIVOT TABLE'!$B$29:$B$45</c:f>
              <c:numCache>
                <c:formatCode>General</c:formatCode>
                <c:ptCount val="17"/>
                <c:pt idx="0">
                  <c:v>28060740000</c:v>
                </c:pt>
                <c:pt idx="1">
                  <c:v>12097400000</c:v>
                </c:pt>
                <c:pt idx="2">
                  <c:v>7208140000</c:v>
                </c:pt>
                <c:pt idx="3">
                  <c:v>7152420000</c:v>
                </c:pt>
                <c:pt idx="4">
                  <c:v>6481300000</c:v>
                </c:pt>
                <c:pt idx="5">
                  <c:v>3252800000</c:v>
                </c:pt>
                <c:pt idx="6">
                  <c:v>3251500000</c:v>
                </c:pt>
                <c:pt idx="7">
                  <c:v>2446100000</c:v>
                </c:pt>
                <c:pt idx="8">
                  <c:v>2191000000</c:v>
                </c:pt>
                <c:pt idx="9">
                  <c:v>1326400000</c:v>
                </c:pt>
                <c:pt idx="10">
                  <c:v>882100000</c:v>
                </c:pt>
                <c:pt idx="11">
                  <c:v>828600000</c:v>
                </c:pt>
                <c:pt idx="12">
                  <c:v>698170000</c:v>
                </c:pt>
                <c:pt idx="13">
                  <c:v>520000000</c:v>
                </c:pt>
                <c:pt idx="14">
                  <c:v>483900000</c:v>
                </c:pt>
                <c:pt idx="15">
                  <c:v>258400000</c:v>
                </c:pt>
                <c:pt idx="16">
                  <c:v>68500000</c:v>
                </c:pt>
              </c:numCache>
            </c:numRef>
          </c:val>
          <c:extLst>
            <c:ext xmlns:c16="http://schemas.microsoft.com/office/drawing/2014/chart" uri="{C3380CC4-5D6E-409C-BE32-E72D297353CC}">
              <c16:uniqueId val="{0000000F-723F-4BAA-AAE7-B053518E67C7}"/>
            </c:ext>
          </c:extLst>
        </c:ser>
        <c:dLbls>
          <c:dLblPos val="outEnd"/>
          <c:showLegendKey val="0"/>
          <c:showVal val="1"/>
          <c:showCatName val="0"/>
          <c:showSerName val="0"/>
          <c:showPercent val="0"/>
          <c:showBubbleSize val="0"/>
        </c:dLbls>
        <c:gapWidth val="219"/>
        <c:overlap val="-27"/>
        <c:axId val="1629853823"/>
        <c:axId val="1629854783"/>
      </c:barChart>
      <c:catAx>
        <c:axId val="16298538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600" b="1"/>
                  <a:t>GENRE</a:t>
                </a:r>
              </a:p>
            </c:rich>
          </c:tx>
          <c:layout>
            <c:manualLayout>
              <c:xMode val="edge"/>
              <c:yMode val="edge"/>
              <c:x val="0.43529046369203844"/>
              <c:y val="0.8658448114339689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9854783"/>
        <c:crosses val="autoZero"/>
        <c:auto val="1"/>
        <c:lblAlgn val="ctr"/>
        <c:lblOffset val="100"/>
        <c:noMultiLvlLbl val="0"/>
      </c:catAx>
      <c:valAx>
        <c:axId val="16298547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600" b="1"/>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quot;B&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98538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[Movie Performance Dashboard.xlsx]PIVOT TABLE!TOP 10 Revenue</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4763648293963254"/>
          <c:y val="5.0925925925925923E-2"/>
          <c:w val="0.47512251152655"/>
          <c:h val="0.84204505686789155"/>
        </c:manualLayout>
      </c:layout>
      <c:barChart>
        <c:barDir val="bar"/>
        <c:grouping val="clustered"/>
        <c:varyColors val="0"/>
        <c:ser>
          <c:idx val="0"/>
          <c:order val="0"/>
          <c:tx>
            <c:strRef>
              <c:f>'PIVOT TABLE'!$B$15</c:f>
              <c:strCache>
                <c:ptCount val="1"/>
                <c:pt idx="0">
                  <c:v>Total</c:v>
                </c:pt>
              </c:strCache>
            </c:strRef>
          </c:tx>
          <c:spPr>
            <a:solidFill>
              <a:schemeClr val="tx2">
                <a:lumMod val="20000"/>
                <a:lumOff val="80000"/>
              </a:schemeClr>
            </a:solidFill>
            <a:ln>
              <a:noFill/>
            </a:ln>
            <a:effectLst/>
          </c:spPr>
          <c:invertIfNegative val="0"/>
          <c:cat>
            <c:strRef>
              <c:f>'PIVOT TABLE'!$A$16:$A$25</c:f>
              <c:strCache>
                <c:ptCount val="10"/>
                <c:pt idx="0">
                  <c:v>X-Men: Days of Future Past</c:v>
                </c:pt>
                <c:pt idx="1">
                  <c:v>The Hunger Games: Mockingjay – Part 1</c:v>
                </c:pt>
                <c:pt idx="2">
                  <c:v>The Amazing Spider-Man</c:v>
                </c:pt>
                <c:pt idx="3">
                  <c:v>Deadpool</c:v>
                </c:pt>
                <c:pt idx="4">
                  <c:v>Fast &amp; Furious 6</c:v>
                </c:pt>
                <c:pt idx="5">
                  <c:v>The Twilight Saga: Breaking Dawn – Part 2</c:v>
                </c:pt>
                <c:pt idx="6">
                  <c:v>Batman v Superman: Dawn of Justice</c:v>
                </c:pt>
                <c:pt idx="7">
                  <c:v>Ice Age: Continental Drift</c:v>
                </c:pt>
                <c:pt idx="8">
                  <c:v>The Hobbit: The Battle of the Five Armies</c:v>
                </c:pt>
                <c:pt idx="9">
                  <c:v>Despicable Me 2</c:v>
                </c:pt>
              </c:strCache>
            </c:strRef>
          </c:cat>
          <c:val>
            <c:numRef>
              <c:f>'PIVOT TABLE'!$B$16:$B$25</c:f>
              <c:numCache>
                <c:formatCode>0.00,,\ "M"</c:formatCode>
                <c:ptCount val="10"/>
                <c:pt idx="0">
                  <c:v>747900000</c:v>
                </c:pt>
                <c:pt idx="1">
                  <c:v>755400000</c:v>
                </c:pt>
                <c:pt idx="2">
                  <c:v>757900000</c:v>
                </c:pt>
                <c:pt idx="3">
                  <c:v>782600000</c:v>
                </c:pt>
                <c:pt idx="4">
                  <c:v>788700000</c:v>
                </c:pt>
                <c:pt idx="5">
                  <c:v>829700000</c:v>
                </c:pt>
                <c:pt idx="6">
                  <c:v>872700000</c:v>
                </c:pt>
                <c:pt idx="7">
                  <c:v>877000000</c:v>
                </c:pt>
                <c:pt idx="8">
                  <c:v>956000000</c:v>
                </c:pt>
                <c:pt idx="9">
                  <c:v>970800000</c:v>
                </c:pt>
              </c:numCache>
            </c:numRef>
          </c:val>
          <c:extLst>
            <c:ext xmlns:c16="http://schemas.microsoft.com/office/drawing/2014/chart" uri="{C3380CC4-5D6E-409C-BE32-E72D297353CC}">
              <c16:uniqueId val="{00000000-E766-4165-9208-7BBC15274314}"/>
            </c:ext>
          </c:extLst>
        </c:ser>
        <c:dLbls>
          <c:showLegendKey val="0"/>
          <c:showVal val="0"/>
          <c:showCatName val="0"/>
          <c:showSerName val="0"/>
          <c:showPercent val="0"/>
          <c:showBubbleSize val="0"/>
        </c:dLbls>
        <c:gapWidth val="182"/>
        <c:axId val="1629859103"/>
        <c:axId val="1629856223"/>
      </c:barChart>
      <c:catAx>
        <c:axId val="16298591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9856223"/>
        <c:crosses val="autoZero"/>
        <c:auto val="1"/>
        <c:lblAlgn val="ctr"/>
        <c:lblOffset val="100"/>
        <c:noMultiLvlLbl val="0"/>
      </c:catAx>
      <c:valAx>
        <c:axId val="1629856223"/>
        <c:scaling>
          <c:orientation val="minMax"/>
        </c:scaling>
        <c:delete val="0"/>
        <c:axPos val="b"/>
        <c:majorGridlines>
          <c:spPr>
            <a:ln w="9525" cap="flat" cmpd="sng" algn="ctr">
              <a:solidFill>
                <a:schemeClr val="tx1">
                  <a:lumMod val="15000"/>
                  <a:lumOff val="85000"/>
                </a:schemeClr>
              </a:solidFill>
              <a:round/>
            </a:ln>
            <a:effectLst/>
          </c:spPr>
        </c:majorGridlines>
        <c:numFmt formatCode="0.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98591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[Movie Performance Dashboard.xlsx]PIVOT TABLE!PivotTable12</c:name>
    <c:fmtId val="3"/>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'PIVOT TABLE'!$F$17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DCD-4D71-8739-A25B68E94EB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DCD-4D71-8739-A25B68E94EB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DCD-4D71-8739-A25B68E94EB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DCD-4D71-8739-A25B68E94EB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DCD-4D71-8739-A25B68E94EB4}"/>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TABLE'!$E$18:$E$22</c:f>
              <c:strCache>
                <c:ptCount val="5"/>
                <c:pt idx="0">
                  <c:v>Action</c:v>
                </c:pt>
                <c:pt idx="1">
                  <c:v>Comedy</c:v>
                </c:pt>
                <c:pt idx="2">
                  <c:v>Sci-Fi</c:v>
                </c:pt>
                <c:pt idx="3">
                  <c:v>Drama</c:v>
                </c:pt>
                <c:pt idx="4">
                  <c:v>Adventure</c:v>
                </c:pt>
              </c:strCache>
            </c:strRef>
          </c:cat>
          <c:val>
            <c:numRef>
              <c:f>'PIVOT TABLE'!$F$18:$F$22</c:f>
              <c:numCache>
                <c:formatCode>0.00,,\ "M"</c:formatCode>
                <c:ptCount val="5"/>
                <c:pt idx="0">
                  <c:v>18123540000</c:v>
                </c:pt>
                <c:pt idx="1">
                  <c:v>8185800000</c:v>
                </c:pt>
                <c:pt idx="2">
                  <c:v>5325300000</c:v>
                </c:pt>
                <c:pt idx="3">
                  <c:v>4824190000</c:v>
                </c:pt>
                <c:pt idx="4">
                  <c:v>4741900000</c:v>
                </c:pt>
              </c:numCache>
            </c:numRef>
          </c:val>
          <c:extLst>
            <c:ext xmlns:c16="http://schemas.microsoft.com/office/drawing/2014/chart" uri="{C3380CC4-5D6E-409C-BE32-E72D297353CC}">
              <c16:uniqueId val="{0000000A-5DCD-4D71-8739-A25B68E94EB4}"/>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EB7AAB0C-418B-488B-8484-8C4FC5E9509B}">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microsoft.com/office/2014/relationships/chartEx" Target="../charts/chartEx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289560</xdr:colOff>
      <xdr:row>0</xdr:row>
      <xdr:rowOff>53340</xdr:rowOff>
    </xdr:from>
    <xdr:to>
      <xdr:col>23</xdr:col>
      <xdr:colOff>381000</xdr:colOff>
      <xdr:row>4</xdr:row>
      <xdr:rowOff>60960</xdr:rowOff>
    </xdr:to>
    <xdr:sp macro="" textlink="">
      <xdr:nvSpPr>
        <xdr:cNvPr id="2" name="Rectangle: Rounded Corners 1">
          <a:extLst>
            <a:ext uri="{FF2B5EF4-FFF2-40B4-BE49-F238E27FC236}">
              <a16:creationId xmlns:a16="http://schemas.microsoft.com/office/drawing/2014/main" id="{3E097F0E-F456-7466-837D-BD0879F48F8B}"/>
            </a:ext>
          </a:extLst>
        </xdr:cNvPr>
        <xdr:cNvSpPr/>
      </xdr:nvSpPr>
      <xdr:spPr>
        <a:xfrm>
          <a:off x="2727960" y="53340"/>
          <a:ext cx="11673840" cy="7391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129540</xdr:colOff>
      <xdr:row>0</xdr:row>
      <xdr:rowOff>53340</xdr:rowOff>
    </xdr:from>
    <xdr:to>
      <xdr:col>4</xdr:col>
      <xdr:colOff>190500</xdr:colOff>
      <xdr:row>35</xdr:row>
      <xdr:rowOff>152400</xdr:rowOff>
    </xdr:to>
    <xdr:sp macro="" textlink="">
      <xdr:nvSpPr>
        <xdr:cNvPr id="3" name="Rectangle: Rounded Corners 2">
          <a:extLst>
            <a:ext uri="{FF2B5EF4-FFF2-40B4-BE49-F238E27FC236}">
              <a16:creationId xmlns:a16="http://schemas.microsoft.com/office/drawing/2014/main" id="{F41CD222-D84B-8B13-D4F0-8EBF67E4716D}"/>
            </a:ext>
          </a:extLst>
        </xdr:cNvPr>
        <xdr:cNvSpPr/>
      </xdr:nvSpPr>
      <xdr:spPr>
        <a:xfrm>
          <a:off x="129540" y="53340"/>
          <a:ext cx="2499360" cy="6499860"/>
        </a:xfrm>
        <a:prstGeom prst="roundRect">
          <a:avLst>
            <a:gd name="adj" fmla="val 5912"/>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396240</xdr:colOff>
      <xdr:row>0</xdr:row>
      <xdr:rowOff>129540</xdr:rowOff>
    </xdr:from>
    <xdr:to>
      <xdr:col>20</xdr:col>
      <xdr:colOff>411480</xdr:colOff>
      <xdr:row>3</xdr:row>
      <xdr:rowOff>137160</xdr:rowOff>
    </xdr:to>
    <xdr:sp macro="" textlink="">
      <xdr:nvSpPr>
        <xdr:cNvPr id="8" name="TextBox 7">
          <a:extLst>
            <a:ext uri="{FF2B5EF4-FFF2-40B4-BE49-F238E27FC236}">
              <a16:creationId xmlns:a16="http://schemas.microsoft.com/office/drawing/2014/main" id="{96FEBA15-35ED-0902-5097-0ED46DB6DEBF}"/>
            </a:ext>
          </a:extLst>
        </xdr:cNvPr>
        <xdr:cNvSpPr txBox="1"/>
      </xdr:nvSpPr>
      <xdr:spPr>
        <a:xfrm>
          <a:off x="4053840" y="129540"/>
          <a:ext cx="8549640" cy="556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4400" b="1"/>
            <a:t>MOVIE PERFORMANCE DASHBOARD</a:t>
          </a:r>
        </a:p>
      </xdr:txBody>
    </xdr:sp>
    <xdr:clientData/>
  </xdr:twoCellAnchor>
  <xdr:twoCellAnchor>
    <xdr:from>
      <xdr:col>4</xdr:col>
      <xdr:colOff>480060</xdr:colOff>
      <xdr:row>4</xdr:row>
      <xdr:rowOff>152400</xdr:rowOff>
    </xdr:from>
    <xdr:to>
      <xdr:col>9</xdr:col>
      <xdr:colOff>83820</xdr:colOff>
      <xdr:row>9</xdr:row>
      <xdr:rowOff>68580</xdr:rowOff>
    </xdr:to>
    <xdr:sp macro="" textlink="">
      <xdr:nvSpPr>
        <xdr:cNvPr id="13" name="Rectangle: Rounded Corners 12">
          <a:extLst>
            <a:ext uri="{FF2B5EF4-FFF2-40B4-BE49-F238E27FC236}">
              <a16:creationId xmlns:a16="http://schemas.microsoft.com/office/drawing/2014/main" id="{FB5FA5D1-B08F-1797-35C5-5D952845ED4B}"/>
            </a:ext>
          </a:extLst>
        </xdr:cNvPr>
        <xdr:cNvSpPr/>
      </xdr:nvSpPr>
      <xdr:spPr>
        <a:xfrm>
          <a:off x="2918460" y="883920"/>
          <a:ext cx="2651760" cy="8305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320040</xdr:colOff>
      <xdr:row>4</xdr:row>
      <xdr:rowOff>152400</xdr:rowOff>
    </xdr:from>
    <xdr:to>
      <xdr:col>13</xdr:col>
      <xdr:colOff>533400</xdr:colOff>
      <xdr:row>9</xdr:row>
      <xdr:rowOff>68580</xdr:rowOff>
    </xdr:to>
    <xdr:sp macro="" textlink="">
      <xdr:nvSpPr>
        <xdr:cNvPr id="14" name="Rectangle: Rounded Corners 13">
          <a:extLst>
            <a:ext uri="{FF2B5EF4-FFF2-40B4-BE49-F238E27FC236}">
              <a16:creationId xmlns:a16="http://schemas.microsoft.com/office/drawing/2014/main" id="{189D3E39-E2FC-0899-BE78-B0DCA4E6F733}"/>
            </a:ext>
          </a:extLst>
        </xdr:cNvPr>
        <xdr:cNvSpPr/>
      </xdr:nvSpPr>
      <xdr:spPr>
        <a:xfrm>
          <a:off x="5806440" y="883920"/>
          <a:ext cx="2651760" cy="8305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182880</xdr:colOff>
      <xdr:row>4</xdr:row>
      <xdr:rowOff>167640</xdr:rowOff>
    </xdr:from>
    <xdr:to>
      <xdr:col>18</xdr:col>
      <xdr:colOff>396240</xdr:colOff>
      <xdr:row>9</xdr:row>
      <xdr:rowOff>83820</xdr:rowOff>
    </xdr:to>
    <xdr:sp macro="" textlink="">
      <xdr:nvSpPr>
        <xdr:cNvPr id="15" name="Rectangle: Rounded Corners 14">
          <a:extLst>
            <a:ext uri="{FF2B5EF4-FFF2-40B4-BE49-F238E27FC236}">
              <a16:creationId xmlns:a16="http://schemas.microsoft.com/office/drawing/2014/main" id="{CDB33E9C-E733-2843-2E9D-2B39FB34B620}"/>
            </a:ext>
          </a:extLst>
        </xdr:cNvPr>
        <xdr:cNvSpPr/>
      </xdr:nvSpPr>
      <xdr:spPr>
        <a:xfrm>
          <a:off x="8717280" y="899160"/>
          <a:ext cx="2651760" cy="8305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7620</xdr:colOff>
      <xdr:row>4</xdr:row>
      <xdr:rowOff>175260</xdr:rowOff>
    </xdr:from>
    <xdr:to>
      <xdr:col>23</xdr:col>
      <xdr:colOff>220980</xdr:colOff>
      <xdr:row>9</xdr:row>
      <xdr:rowOff>91440</xdr:rowOff>
    </xdr:to>
    <xdr:sp macro="" textlink="">
      <xdr:nvSpPr>
        <xdr:cNvPr id="16" name="Rectangle: Rounded Corners 15">
          <a:extLst>
            <a:ext uri="{FF2B5EF4-FFF2-40B4-BE49-F238E27FC236}">
              <a16:creationId xmlns:a16="http://schemas.microsoft.com/office/drawing/2014/main" id="{7E5F274E-F8D1-24CB-1A70-5D148EE760DA}"/>
            </a:ext>
          </a:extLst>
        </xdr:cNvPr>
        <xdr:cNvSpPr/>
      </xdr:nvSpPr>
      <xdr:spPr>
        <a:xfrm>
          <a:off x="11590020" y="906780"/>
          <a:ext cx="2651760" cy="8305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419100</xdr:colOff>
      <xdr:row>5</xdr:row>
      <xdr:rowOff>15240</xdr:rowOff>
    </xdr:from>
    <xdr:to>
      <xdr:col>8</xdr:col>
      <xdr:colOff>106680</xdr:colOff>
      <xdr:row>7</xdr:row>
      <xdr:rowOff>0</xdr:rowOff>
    </xdr:to>
    <xdr:sp macro="" textlink="">
      <xdr:nvSpPr>
        <xdr:cNvPr id="17" name="TextBox 16">
          <a:extLst>
            <a:ext uri="{FF2B5EF4-FFF2-40B4-BE49-F238E27FC236}">
              <a16:creationId xmlns:a16="http://schemas.microsoft.com/office/drawing/2014/main" id="{D97EFBD2-4E17-DA1B-44E6-9CB129CD925F}"/>
            </a:ext>
          </a:extLst>
        </xdr:cNvPr>
        <xdr:cNvSpPr txBox="1"/>
      </xdr:nvSpPr>
      <xdr:spPr>
        <a:xfrm>
          <a:off x="3467100" y="929640"/>
          <a:ext cx="151638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t>Total</a:t>
          </a:r>
          <a:r>
            <a:rPr lang="en-IN" sz="2000" b="1" baseline="0"/>
            <a:t> Movies</a:t>
          </a:r>
          <a:endParaRPr lang="en-IN" sz="2000" b="1"/>
        </a:p>
      </xdr:txBody>
    </xdr:sp>
    <xdr:clientData/>
  </xdr:twoCellAnchor>
  <xdr:twoCellAnchor>
    <xdr:from>
      <xdr:col>10</xdr:col>
      <xdr:colOff>220980</xdr:colOff>
      <xdr:row>5</xdr:row>
      <xdr:rowOff>45720</xdr:rowOff>
    </xdr:from>
    <xdr:to>
      <xdr:col>13</xdr:col>
      <xdr:colOff>114300</xdr:colOff>
      <xdr:row>7</xdr:row>
      <xdr:rowOff>30480</xdr:rowOff>
    </xdr:to>
    <xdr:sp macro="" textlink="">
      <xdr:nvSpPr>
        <xdr:cNvPr id="18" name="TextBox 17">
          <a:extLst>
            <a:ext uri="{FF2B5EF4-FFF2-40B4-BE49-F238E27FC236}">
              <a16:creationId xmlns:a16="http://schemas.microsoft.com/office/drawing/2014/main" id="{3E52A99F-5005-FF66-338B-3BD0BD92F9EF}"/>
            </a:ext>
          </a:extLst>
        </xdr:cNvPr>
        <xdr:cNvSpPr txBox="1"/>
      </xdr:nvSpPr>
      <xdr:spPr>
        <a:xfrm>
          <a:off x="6316980" y="960120"/>
          <a:ext cx="172212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t>Total</a:t>
          </a:r>
          <a:r>
            <a:rPr lang="en-IN" sz="2000" b="1" baseline="0"/>
            <a:t> Revenue</a:t>
          </a:r>
          <a:endParaRPr lang="en-IN" sz="2000" b="1"/>
        </a:p>
      </xdr:txBody>
    </xdr:sp>
    <xdr:clientData/>
  </xdr:twoCellAnchor>
  <xdr:twoCellAnchor>
    <xdr:from>
      <xdr:col>15</xdr:col>
      <xdr:colOff>152400</xdr:colOff>
      <xdr:row>5</xdr:row>
      <xdr:rowOff>38100</xdr:rowOff>
    </xdr:from>
    <xdr:to>
      <xdr:col>17</xdr:col>
      <xdr:colOff>449580</xdr:colOff>
      <xdr:row>7</xdr:row>
      <xdr:rowOff>22860</xdr:rowOff>
    </xdr:to>
    <xdr:sp macro="" textlink="">
      <xdr:nvSpPr>
        <xdr:cNvPr id="19" name="TextBox 18">
          <a:extLst>
            <a:ext uri="{FF2B5EF4-FFF2-40B4-BE49-F238E27FC236}">
              <a16:creationId xmlns:a16="http://schemas.microsoft.com/office/drawing/2014/main" id="{7D96A9F9-AB0E-511D-0581-2F0983633B64}"/>
            </a:ext>
          </a:extLst>
        </xdr:cNvPr>
        <xdr:cNvSpPr txBox="1"/>
      </xdr:nvSpPr>
      <xdr:spPr>
        <a:xfrm>
          <a:off x="9296400" y="952500"/>
          <a:ext cx="151638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t>Total</a:t>
          </a:r>
          <a:r>
            <a:rPr lang="en-IN" sz="2000" b="1" baseline="0"/>
            <a:t> Profit</a:t>
          </a:r>
          <a:endParaRPr lang="en-IN" sz="2000" b="1"/>
        </a:p>
      </xdr:txBody>
    </xdr:sp>
    <xdr:clientData/>
  </xdr:twoCellAnchor>
  <xdr:twoCellAnchor>
    <xdr:from>
      <xdr:col>20</xdr:col>
      <xdr:colOff>327660</xdr:colOff>
      <xdr:row>5</xdr:row>
      <xdr:rowOff>30480</xdr:rowOff>
    </xdr:from>
    <xdr:to>
      <xdr:col>21</xdr:col>
      <xdr:colOff>541020</xdr:colOff>
      <xdr:row>7</xdr:row>
      <xdr:rowOff>15240</xdr:rowOff>
    </xdr:to>
    <xdr:sp macro="" textlink="">
      <xdr:nvSpPr>
        <xdr:cNvPr id="20" name="TextBox 19">
          <a:extLst>
            <a:ext uri="{FF2B5EF4-FFF2-40B4-BE49-F238E27FC236}">
              <a16:creationId xmlns:a16="http://schemas.microsoft.com/office/drawing/2014/main" id="{B463CC32-A9BE-5E3C-036E-2587E2F3472B}"/>
            </a:ext>
          </a:extLst>
        </xdr:cNvPr>
        <xdr:cNvSpPr txBox="1"/>
      </xdr:nvSpPr>
      <xdr:spPr>
        <a:xfrm>
          <a:off x="12519660" y="944880"/>
          <a:ext cx="82296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t>ROI</a:t>
          </a:r>
          <a:r>
            <a:rPr lang="en-IN" sz="2000" b="1" baseline="0"/>
            <a:t> %</a:t>
          </a:r>
          <a:endParaRPr lang="en-IN" sz="2000" b="1"/>
        </a:p>
      </xdr:txBody>
    </xdr:sp>
    <xdr:clientData/>
  </xdr:twoCellAnchor>
  <xdr:twoCellAnchor>
    <xdr:from>
      <xdr:col>6</xdr:col>
      <xdr:colOff>274320</xdr:colOff>
      <xdr:row>7</xdr:row>
      <xdr:rowOff>38100</xdr:rowOff>
    </xdr:from>
    <xdr:to>
      <xdr:col>7</xdr:col>
      <xdr:colOff>312420</xdr:colOff>
      <xdr:row>9</xdr:row>
      <xdr:rowOff>7620</xdr:rowOff>
    </xdr:to>
    <xdr:sp macro="" textlink="'PIVOT TABLE'!B4">
      <xdr:nvSpPr>
        <xdr:cNvPr id="21" name="TextBox 20">
          <a:extLst>
            <a:ext uri="{FF2B5EF4-FFF2-40B4-BE49-F238E27FC236}">
              <a16:creationId xmlns:a16="http://schemas.microsoft.com/office/drawing/2014/main" id="{648D7D4C-8CAB-E01A-E292-E58100D1767B}"/>
            </a:ext>
          </a:extLst>
        </xdr:cNvPr>
        <xdr:cNvSpPr txBox="1"/>
      </xdr:nvSpPr>
      <xdr:spPr>
        <a:xfrm>
          <a:off x="3931920" y="1318260"/>
          <a:ext cx="64770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DF31F2EE-9EFA-48F3-B18E-3B92626F52E7}" type="TxLink">
            <a:rPr lang="en-US" sz="2400" b="1" i="0" u="none" strike="noStrike">
              <a:solidFill>
                <a:srgbClr val="000000"/>
              </a:solidFill>
              <a:latin typeface="Aptos Narrow"/>
            </a:rPr>
            <a:pPr/>
            <a:t>508</a:t>
          </a:fld>
          <a:endParaRPr lang="en-IN" sz="2400" b="1"/>
        </a:p>
      </xdr:txBody>
    </xdr:sp>
    <xdr:clientData/>
  </xdr:twoCellAnchor>
  <xdr:twoCellAnchor>
    <xdr:from>
      <xdr:col>10</xdr:col>
      <xdr:colOff>579120</xdr:colOff>
      <xdr:row>7</xdr:row>
      <xdr:rowOff>83820</xdr:rowOff>
    </xdr:from>
    <xdr:to>
      <xdr:col>12</xdr:col>
      <xdr:colOff>487680</xdr:colOff>
      <xdr:row>9</xdr:row>
      <xdr:rowOff>22860</xdr:rowOff>
    </xdr:to>
    <xdr:sp macro="" textlink="'PIVOT TABLE'!B7">
      <xdr:nvSpPr>
        <xdr:cNvPr id="22" name="TextBox 21">
          <a:extLst>
            <a:ext uri="{FF2B5EF4-FFF2-40B4-BE49-F238E27FC236}">
              <a16:creationId xmlns:a16="http://schemas.microsoft.com/office/drawing/2014/main" id="{F337288D-10A5-F91D-F1D3-49D5DD24FC59}"/>
            </a:ext>
          </a:extLst>
        </xdr:cNvPr>
        <xdr:cNvSpPr txBox="1"/>
      </xdr:nvSpPr>
      <xdr:spPr>
        <a:xfrm>
          <a:off x="6675120" y="1363980"/>
          <a:ext cx="112776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DE49CB19-BFA8-4172-A8B4-C879260F7747}" type="TxLink">
            <a:rPr lang="en-US" sz="2400" b="1" i="0" u="none" strike="noStrike">
              <a:solidFill>
                <a:srgbClr val="000000"/>
              </a:solidFill>
              <a:latin typeface="Aptos Narrow"/>
            </a:rPr>
            <a:pPr/>
            <a:t>77.21 B</a:t>
          </a:fld>
          <a:endParaRPr lang="en-IN" sz="2400" b="1"/>
        </a:p>
      </xdr:txBody>
    </xdr:sp>
    <xdr:clientData/>
  </xdr:twoCellAnchor>
  <xdr:twoCellAnchor>
    <xdr:from>
      <xdr:col>15</xdr:col>
      <xdr:colOff>304800</xdr:colOff>
      <xdr:row>7</xdr:row>
      <xdr:rowOff>76200</xdr:rowOff>
    </xdr:from>
    <xdr:to>
      <xdr:col>17</xdr:col>
      <xdr:colOff>297180</xdr:colOff>
      <xdr:row>9</xdr:row>
      <xdr:rowOff>15240</xdr:rowOff>
    </xdr:to>
    <xdr:sp macro="" textlink="'PIVOT TABLE'!B10">
      <xdr:nvSpPr>
        <xdr:cNvPr id="23" name="TextBox 22">
          <a:extLst>
            <a:ext uri="{FF2B5EF4-FFF2-40B4-BE49-F238E27FC236}">
              <a16:creationId xmlns:a16="http://schemas.microsoft.com/office/drawing/2014/main" id="{0E06E0AB-8F01-C205-4561-1095494FD3D7}"/>
            </a:ext>
          </a:extLst>
        </xdr:cNvPr>
        <xdr:cNvSpPr txBox="1"/>
      </xdr:nvSpPr>
      <xdr:spPr>
        <a:xfrm>
          <a:off x="9448800" y="1356360"/>
          <a:ext cx="121158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A2A50F4D-7CBB-4D7B-9A18-66E4C05E8FF3}" type="TxLink">
            <a:rPr lang="en-US" sz="2400" b="1" i="0" u="none" strike="noStrike">
              <a:solidFill>
                <a:srgbClr val="000000"/>
              </a:solidFill>
              <a:latin typeface="Aptos Narrow"/>
            </a:rPr>
            <a:pPr/>
            <a:t>52.38  B</a:t>
          </a:fld>
          <a:endParaRPr lang="en-IN" sz="2400" b="1"/>
        </a:p>
      </xdr:txBody>
    </xdr:sp>
    <xdr:clientData/>
  </xdr:twoCellAnchor>
  <xdr:twoCellAnchor>
    <xdr:from>
      <xdr:col>20</xdr:col>
      <xdr:colOff>304800</xdr:colOff>
      <xdr:row>7</xdr:row>
      <xdr:rowOff>83820</xdr:rowOff>
    </xdr:from>
    <xdr:to>
      <xdr:col>21</xdr:col>
      <xdr:colOff>594360</xdr:colOff>
      <xdr:row>9</xdr:row>
      <xdr:rowOff>22860</xdr:rowOff>
    </xdr:to>
    <xdr:sp macro="" textlink="'PIVOT TABLE'!B13">
      <xdr:nvSpPr>
        <xdr:cNvPr id="24" name="TextBox 23">
          <a:extLst>
            <a:ext uri="{FF2B5EF4-FFF2-40B4-BE49-F238E27FC236}">
              <a16:creationId xmlns:a16="http://schemas.microsoft.com/office/drawing/2014/main" id="{54C68CA7-4C98-C8EA-6842-7834E97C08A1}"/>
            </a:ext>
          </a:extLst>
        </xdr:cNvPr>
        <xdr:cNvSpPr txBox="1"/>
      </xdr:nvSpPr>
      <xdr:spPr>
        <a:xfrm>
          <a:off x="12496800" y="1363980"/>
          <a:ext cx="89916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C00B1837-190B-485A-986F-ACD9B0E6BC33}" type="TxLink">
            <a:rPr lang="en-US" sz="2400" b="1" i="0" u="none" strike="noStrike">
              <a:solidFill>
                <a:srgbClr val="000000"/>
              </a:solidFill>
              <a:latin typeface="Aptos Narrow"/>
            </a:rPr>
            <a:pPr/>
            <a:t>333.9</a:t>
          </a:fld>
          <a:endParaRPr lang="en-IN" sz="2400" b="1"/>
        </a:p>
      </xdr:txBody>
    </xdr:sp>
    <xdr:clientData/>
  </xdr:twoCellAnchor>
  <xdr:twoCellAnchor>
    <xdr:from>
      <xdr:col>4</xdr:col>
      <xdr:colOff>304800</xdr:colOff>
      <xdr:row>9</xdr:row>
      <xdr:rowOff>137160</xdr:rowOff>
    </xdr:from>
    <xdr:to>
      <xdr:col>23</xdr:col>
      <xdr:colOff>312420</xdr:colOff>
      <xdr:row>22</xdr:row>
      <xdr:rowOff>45720</xdr:rowOff>
    </xdr:to>
    <xdr:sp macro="" textlink="">
      <xdr:nvSpPr>
        <xdr:cNvPr id="25" name="Rectangle: Rounded Corners 24">
          <a:extLst>
            <a:ext uri="{FF2B5EF4-FFF2-40B4-BE49-F238E27FC236}">
              <a16:creationId xmlns:a16="http://schemas.microsoft.com/office/drawing/2014/main" id="{71E16082-3155-6C4D-BE9E-6CEBEC7D277E}"/>
            </a:ext>
          </a:extLst>
        </xdr:cNvPr>
        <xdr:cNvSpPr/>
      </xdr:nvSpPr>
      <xdr:spPr>
        <a:xfrm>
          <a:off x="2743200" y="1783080"/>
          <a:ext cx="11590020" cy="2286000"/>
        </a:xfrm>
        <a:prstGeom prst="roundRect">
          <a:avLst>
            <a:gd name="adj" fmla="val 7334"/>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312420</xdr:colOff>
      <xdr:row>22</xdr:row>
      <xdr:rowOff>121920</xdr:rowOff>
    </xdr:from>
    <xdr:to>
      <xdr:col>23</xdr:col>
      <xdr:colOff>320040</xdr:colOff>
      <xdr:row>35</xdr:row>
      <xdr:rowOff>137160</xdr:rowOff>
    </xdr:to>
    <xdr:sp macro="" textlink="">
      <xdr:nvSpPr>
        <xdr:cNvPr id="26" name="Rectangle: Rounded Corners 25">
          <a:extLst>
            <a:ext uri="{FF2B5EF4-FFF2-40B4-BE49-F238E27FC236}">
              <a16:creationId xmlns:a16="http://schemas.microsoft.com/office/drawing/2014/main" id="{0837BAE5-F9E0-0130-169C-80AFF58A401A}"/>
            </a:ext>
          </a:extLst>
        </xdr:cNvPr>
        <xdr:cNvSpPr/>
      </xdr:nvSpPr>
      <xdr:spPr>
        <a:xfrm>
          <a:off x="2750820" y="4145280"/>
          <a:ext cx="11590020" cy="2392680"/>
        </a:xfrm>
        <a:prstGeom prst="roundRect">
          <a:avLst>
            <a:gd name="adj" fmla="val 7334"/>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327660</xdr:colOff>
      <xdr:row>23</xdr:row>
      <xdr:rowOff>137160</xdr:rowOff>
    </xdr:from>
    <xdr:to>
      <xdr:col>23</xdr:col>
      <xdr:colOff>160020</xdr:colOff>
      <xdr:row>35</xdr:row>
      <xdr:rowOff>60960</xdr:rowOff>
    </xdr:to>
    <xdr:graphicFrame macro="">
      <xdr:nvGraphicFramePr>
        <xdr:cNvPr id="27" name="Chart 26">
          <a:extLst>
            <a:ext uri="{FF2B5EF4-FFF2-40B4-BE49-F238E27FC236}">
              <a16:creationId xmlns:a16="http://schemas.microsoft.com/office/drawing/2014/main" id="{D2E17041-1380-4F67-84A9-E5FACD4373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144780</xdr:colOff>
      <xdr:row>11</xdr:row>
      <xdr:rowOff>15240</xdr:rowOff>
    </xdr:from>
    <xdr:to>
      <xdr:col>23</xdr:col>
      <xdr:colOff>220980</xdr:colOff>
      <xdr:row>21</xdr:row>
      <xdr:rowOff>167640</xdr:rowOff>
    </xdr:to>
    <xdr:graphicFrame macro="">
      <xdr:nvGraphicFramePr>
        <xdr:cNvPr id="28" name="Chart 27">
          <a:extLst>
            <a:ext uri="{FF2B5EF4-FFF2-40B4-BE49-F238E27FC236}">
              <a16:creationId xmlns:a16="http://schemas.microsoft.com/office/drawing/2014/main" id="{A381317C-7DC5-48F7-BB00-28FEC2A8E4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563880</xdr:colOff>
      <xdr:row>11</xdr:row>
      <xdr:rowOff>0</xdr:rowOff>
    </xdr:from>
    <xdr:to>
      <xdr:col>18</xdr:col>
      <xdr:colOff>53340</xdr:colOff>
      <xdr:row>21</xdr:row>
      <xdr:rowOff>175260</xdr:rowOff>
    </xdr:to>
    <xdr:graphicFrame macro="">
      <xdr:nvGraphicFramePr>
        <xdr:cNvPr id="29" name="Chart 28">
          <a:extLst>
            <a:ext uri="{FF2B5EF4-FFF2-40B4-BE49-F238E27FC236}">
              <a16:creationId xmlns:a16="http://schemas.microsoft.com/office/drawing/2014/main" id="{21EAC5A2-3DEC-43A7-A1B1-3F0829AF1A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403860</xdr:colOff>
      <xdr:row>11</xdr:row>
      <xdr:rowOff>7620</xdr:rowOff>
    </xdr:from>
    <xdr:to>
      <xdr:col>10</xdr:col>
      <xdr:colOff>472440</xdr:colOff>
      <xdr:row>22</xdr:row>
      <xdr:rowOff>15240</xdr:rowOff>
    </xdr:to>
    <xdr:graphicFrame macro="">
      <xdr:nvGraphicFramePr>
        <xdr:cNvPr id="30" name="Chart 29">
          <a:extLst>
            <a:ext uri="{FF2B5EF4-FFF2-40B4-BE49-F238E27FC236}">
              <a16:creationId xmlns:a16="http://schemas.microsoft.com/office/drawing/2014/main" id="{84B773D3-9F7C-4BF0-82CC-F9E2DD9A9A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15240</xdr:colOff>
      <xdr:row>9</xdr:row>
      <xdr:rowOff>152400</xdr:rowOff>
    </xdr:from>
    <xdr:to>
      <xdr:col>9</xdr:col>
      <xdr:colOff>220980</xdr:colOff>
      <xdr:row>10</xdr:row>
      <xdr:rowOff>175260</xdr:rowOff>
    </xdr:to>
    <xdr:sp macro="" textlink="">
      <xdr:nvSpPr>
        <xdr:cNvPr id="33" name="TextBox 32">
          <a:extLst>
            <a:ext uri="{FF2B5EF4-FFF2-40B4-BE49-F238E27FC236}">
              <a16:creationId xmlns:a16="http://schemas.microsoft.com/office/drawing/2014/main" id="{3BE47871-5A14-B44F-33CB-FC34846CEA34}"/>
            </a:ext>
          </a:extLst>
        </xdr:cNvPr>
        <xdr:cNvSpPr txBox="1"/>
      </xdr:nvSpPr>
      <xdr:spPr>
        <a:xfrm>
          <a:off x="3672840" y="1798320"/>
          <a:ext cx="203454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TOP 10 MOVIES BY</a:t>
          </a:r>
          <a:r>
            <a:rPr lang="en-IN" sz="1200" b="1" baseline="0"/>
            <a:t> REVENUE</a:t>
          </a:r>
          <a:endParaRPr lang="en-IN" sz="1200" b="1"/>
        </a:p>
      </xdr:txBody>
    </xdr:sp>
    <xdr:clientData/>
  </xdr:twoCellAnchor>
  <xdr:twoCellAnchor>
    <xdr:from>
      <xdr:col>13</xdr:col>
      <xdr:colOff>266700</xdr:colOff>
      <xdr:row>9</xdr:row>
      <xdr:rowOff>144780</xdr:rowOff>
    </xdr:from>
    <xdr:to>
      <xdr:col>15</xdr:col>
      <xdr:colOff>533400</xdr:colOff>
      <xdr:row>11</xdr:row>
      <xdr:rowOff>0</xdr:rowOff>
    </xdr:to>
    <xdr:sp macro="" textlink="">
      <xdr:nvSpPr>
        <xdr:cNvPr id="34" name="TextBox 33">
          <a:extLst>
            <a:ext uri="{FF2B5EF4-FFF2-40B4-BE49-F238E27FC236}">
              <a16:creationId xmlns:a16="http://schemas.microsoft.com/office/drawing/2014/main" id="{B31322BF-1E54-2507-9A47-852AAC6F018C}"/>
            </a:ext>
          </a:extLst>
        </xdr:cNvPr>
        <xdr:cNvSpPr txBox="1"/>
      </xdr:nvSpPr>
      <xdr:spPr>
        <a:xfrm>
          <a:off x="8191500" y="1790700"/>
          <a:ext cx="148590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REVENUE</a:t>
          </a:r>
          <a:r>
            <a:rPr lang="en-IN" sz="1200" b="1" baseline="0"/>
            <a:t> BY GENRE</a:t>
          </a:r>
          <a:endParaRPr lang="en-IN" sz="1200" b="1"/>
        </a:p>
      </xdr:txBody>
    </xdr:sp>
    <xdr:clientData/>
  </xdr:twoCellAnchor>
  <xdr:twoCellAnchor>
    <xdr:from>
      <xdr:col>19</xdr:col>
      <xdr:colOff>182880</xdr:colOff>
      <xdr:row>9</xdr:row>
      <xdr:rowOff>152400</xdr:rowOff>
    </xdr:from>
    <xdr:to>
      <xdr:col>22</xdr:col>
      <xdr:colOff>289560</xdr:colOff>
      <xdr:row>11</xdr:row>
      <xdr:rowOff>0</xdr:rowOff>
    </xdr:to>
    <xdr:sp macro="" textlink="">
      <xdr:nvSpPr>
        <xdr:cNvPr id="37" name="TextBox 36">
          <a:extLst>
            <a:ext uri="{FF2B5EF4-FFF2-40B4-BE49-F238E27FC236}">
              <a16:creationId xmlns:a16="http://schemas.microsoft.com/office/drawing/2014/main" id="{3851AB3C-57F7-CCB1-DC3A-6FB9C8443125}"/>
            </a:ext>
          </a:extLst>
        </xdr:cNvPr>
        <xdr:cNvSpPr txBox="1"/>
      </xdr:nvSpPr>
      <xdr:spPr>
        <a:xfrm>
          <a:off x="11765280" y="1798320"/>
          <a:ext cx="193548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MOVIES</a:t>
          </a:r>
          <a:r>
            <a:rPr lang="en-IN" sz="1200" b="1" baseline="0"/>
            <a:t> RELEASED BY YEAR</a:t>
          </a:r>
          <a:endParaRPr lang="en-IN" sz="1200" b="1"/>
        </a:p>
      </xdr:txBody>
    </xdr:sp>
    <xdr:clientData/>
  </xdr:twoCellAnchor>
  <xdr:twoCellAnchor>
    <xdr:from>
      <xdr:col>18</xdr:col>
      <xdr:colOff>99060</xdr:colOff>
      <xdr:row>22</xdr:row>
      <xdr:rowOff>114300</xdr:rowOff>
    </xdr:from>
    <xdr:to>
      <xdr:col>21</xdr:col>
      <xdr:colOff>449580</xdr:colOff>
      <xdr:row>23</xdr:row>
      <xdr:rowOff>152400</xdr:rowOff>
    </xdr:to>
    <xdr:sp macro="" textlink="">
      <xdr:nvSpPr>
        <xdr:cNvPr id="38" name="TextBox 37">
          <a:extLst>
            <a:ext uri="{FF2B5EF4-FFF2-40B4-BE49-F238E27FC236}">
              <a16:creationId xmlns:a16="http://schemas.microsoft.com/office/drawing/2014/main" id="{B7EE92B4-972B-0DD8-DCBA-F70BEF7C5FDA}"/>
            </a:ext>
          </a:extLst>
        </xdr:cNvPr>
        <xdr:cNvSpPr txBox="1"/>
      </xdr:nvSpPr>
      <xdr:spPr>
        <a:xfrm>
          <a:off x="11071860" y="4137660"/>
          <a:ext cx="217932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BUDGET</a:t>
          </a:r>
          <a:r>
            <a:rPr lang="en-IN" sz="1200" b="1" baseline="0"/>
            <a:t> VS REVENUE ANALYSIS</a:t>
          </a:r>
          <a:endParaRPr lang="en-IN" sz="1200" b="1"/>
        </a:p>
      </xdr:txBody>
    </xdr:sp>
    <xdr:clientData/>
  </xdr:twoCellAnchor>
  <xdr:twoCellAnchor>
    <xdr:from>
      <xdr:col>12</xdr:col>
      <xdr:colOff>53340</xdr:colOff>
      <xdr:row>22</xdr:row>
      <xdr:rowOff>129540</xdr:rowOff>
    </xdr:from>
    <xdr:to>
      <xdr:col>14</xdr:col>
      <xdr:colOff>533400</xdr:colOff>
      <xdr:row>23</xdr:row>
      <xdr:rowOff>152400</xdr:rowOff>
    </xdr:to>
    <xdr:sp macro="" textlink="">
      <xdr:nvSpPr>
        <xdr:cNvPr id="39" name="TextBox 38">
          <a:extLst>
            <a:ext uri="{FF2B5EF4-FFF2-40B4-BE49-F238E27FC236}">
              <a16:creationId xmlns:a16="http://schemas.microsoft.com/office/drawing/2014/main" id="{66E3987A-298E-CA8A-C42F-13B1711DABE4}"/>
            </a:ext>
          </a:extLst>
        </xdr:cNvPr>
        <xdr:cNvSpPr txBox="1"/>
      </xdr:nvSpPr>
      <xdr:spPr>
        <a:xfrm>
          <a:off x="7368540" y="4152900"/>
          <a:ext cx="169926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GENRE</a:t>
          </a:r>
          <a:r>
            <a:rPr lang="en-IN" sz="1200" b="1" baseline="0"/>
            <a:t> DISTRIBUTION %</a:t>
          </a:r>
          <a:endParaRPr lang="en-IN" sz="1200" b="1"/>
        </a:p>
      </xdr:txBody>
    </xdr:sp>
    <xdr:clientData/>
  </xdr:twoCellAnchor>
  <xdr:twoCellAnchor>
    <xdr:from>
      <xdr:col>5</xdr:col>
      <xdr:colOff>571500</xdr:colOff>
      <xdr:row>22</xdr:row>
      <xdr:rowOff>129540</xdr:rowOff>
    </xdr:from>
    <xdr:to>
      <xdr:col>9</xdr:col>
      <xdr:colOff>106680</xdr:colOff>
      <xdr:row>23</xdr:row>
      <xdr:rowOff>144780</xdr:rowOff>
    </xdr:to>
    <xdr:sp macro="" textlink="">
      <xdr:nvSpPr>
        <xdr:cNvPr id="40" name="TextBox 39">
          <a:extLst>
            <a:ext uri="{FF2B5EF4-FFF2-40B4-BE49-F238E27FC236}">
              <a16:creationId xmlns:a16="http://schemas.microsoft.com/office/drawing/2014/main" id="{23255E69-571D-2562-0645-7E575A700A4E}"/>
            </a:ext>
          </a:extLst>
        </xdr:cNvPr>
        <xdr:cNvSpPr txBox="1"/>
      </xdr:nvSpPr>
      <xdr:spPr>
        <a:xfrm>
          <a:off x="3619500" y="4152900"/>
          <a:ext cx="197358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TOP</a:t>
          </a:r>
          <a:r>
            <a:rPr lang="en-IN" sz="1200" b="1" baseline="0"/>
            <a:t> 10 DIRECTORS BY ROI%</a:t>
          </a:r>
          <a:endParaRPr lang="en-IN" sz="1200" b="1"/>
        </a:p>
      </xdr:txBody>
    </xdr:sp>
    <xdr:clientData/>
  </xdr:twoCellAnchor>
  <xdr:twoCellAnchor editAs="oneCell">
    <xdr:from>
      <xdr:col>0</xdr:col>
      <xdr:colOff>167640</xdr:colOff>
      <xdr:row>0</xdr:row>
      <xdr:rowOff>114300</xdr:rowOff>
    </xdr:from>
    <xdr:to>
      <xdr:col>4</xdr:col>
      <xdr:colOff>121920</xdr:colOff>
      <xdr:row>8</xdr:row>
      <xdr:rowOff>83820</xdr:rowOff>
    </xdr:to>
    <mc:AlternateContent xmlns:mc="http://schemas.openxmlformats.org/markup-compatibility/2006" xmlns:a14="http://schemas.microsoft.com/office/drawing/2010/main">
      <mc:Choice Requires="a14">
        <xdr:graphicFrame macro="">
          <xdr:nvGraphicFramePr>
            <xdr:cNvPr id="41" name="Movie Title">
              <a:extLst>
                <a:ext uri="{FF2B5EF4-FFF2-40B4-BE49-F238E27FC236}">
                  <a16:creationId xmlns:a16="http://schemas.microsoft.com/office/drawing/2014/main" id="{DD9D71D5-77F1-4CB3-9080-F02E06C77F73}"/>
                </a:ext>
              </a:extLst>
            </xdr:cNvPr>
            <xdr:cNvGraphicFramePr/>
          </xdr:nvGraphicFramePr>
          <xdr:xfrm>
            <a:off x="0" y="0"/>
            <a:ext cx="0" cy="0"/>
          </xdr:xfrm>
          <a:graphic>
            <a:graphicData uri="http://schemas.microsoft.com/office/drawing/2010/slicer">
              <sle:slicer xmlns:sle="http://schemas.microsoft.com/office/drawing/2010/slicer" name="Movie Title"/>
            </a:graphicData>
          </a:graphic>
        </xdr:graphicFrame>
      </mc:Choice>
      <mc:Fallback xmlns="">
        <xdr:sp macro="" textlink="">
          <xdr:nvSpPr>
            <xdr:cNvPr id="0" name=""/>
            <xdr:cNvSpPr>
              <a:spLocks noTextEdit="1"/>
            </xdr:cNvSpPr>
          </xdr:nvSpPr>
          <xdr:spPr>
            <a:xfrm>
              <a:off x="167640" y="114300"/>
              <a:ext cx="2392680" cy="1432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182880</xdr:colOff>
      <xdr:row>8</xdr:row>
      <xdr:rowOff>144780</xdr:rowOff>
    </xdr:from>
    <xdr:to>
      <xdr:col>4</xdr:col>
      <xdr:colOff>99060</xdr:colOff>
      <xdr:row>17</xdr:row>
      <xdr:rowOff>22860</xdr:rowOff>
    </xdr:to>
    <mc:AlternateContent xmlns:mc="http://schemas.openxmlformats.org/markup-compatibility/2006" xmlns:a14="http://schemas.microsoft.com/office/drawing/2010/main">
      <mc:Choice Requires="a14">
        <xdr:graphicFrame macro="">
          <xdr:nvGraphicFramePr>
            <xdr:cNvPr id="42" name="Genre">
              <a:extLst>
                <a:ext uri="{FF2B5EF4-FFF2-40B4-BE49-F238E27FC236}">
                  <a16:creationId xmlns:a16="http://schemas.microsoft.com/office/drawing/2014/main" id="{C59DD5FB-354C-454B-9E30-01AC17ADE25D}"/>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mlns="">
        <xdr:sp macro="" textlink="">
          <xdr:nvSpPr>
            <xdr:cNvPr id="0" name=""/>
            <xdr:cNvSpPr>
              <a:spLocks noTextEdit="1"/>
            </xdr:cNvSpPr>
          </xdr:nvSpPr>
          <xdr:spPr>
            <a:xfrm>
              <a:off x="182880" y="1607820"/>
              <a:ext cx="2354580" cy="15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175260</xdr:colOff>
      <xdr:row>17</xdr:row>
      <xdr:rowOff>68580</xdr:rowOff>
    </xdr:from>
    <xdr:to>
      <xdr:col>4</xdr:col>
      <xdr:colOff>91440</xdr:colOff>
      <xdr:row>27</xdr:row>
      <xdr:rowOff>38100</xdr:rowOff>
    </xdr:to>
    <mc:AlternateContent xmlns:mc="http://schemas.openxmlformats.org/markup-compatibility/2006" xmlns:a14="http://schemas.microsoft.com/office/drawing/2010/main">
      <mc:Choice Requires="a14">
        <xdr:graphicFrame macro="">
          <xdr:nvGraphicFramePr>
            <xdr:cNvPr id="43" name="Year 1">
              <a:extLst>
                <a:ext uri="{FF2B5EF4-FFF2-40B4-BE49-F238E27FC236}">
                  <a16:creationId xmlns:a16="http://schemas.microsoft.com/office/drawing/2014/main" id="{A9AE1BEA-E714-4DC3-860D-2C806CEC258E}"/>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75260" y="3177540"/>
              <a:ext cx="2354580" cy="1798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198120</xdr:colOff>
      <xdr:row>27</xdr:row>
      <xdr:rowOff>99060</xdr:rowOff>
    </xdr:from>
    <xdr:to>
      <xdr:col>4</xdr:col>
      <xdr:colOff>129540</xdr:colOff>
      <xdr:row>35</xdr:row>
      <xdr:rowOff>83820</xdr:rowOff>
    </xdr:to>
    <mc:AlternateContent xmlns:mc="http://schemas.openxmlformats.org/markup-compatibility/2006" xmlns:a14="http://schemas.microsoft.com/office/drawing/2010/main">
      <mc:Choice Requires="a14">
        <xdr:graphicFrame macro="">
          <xdr:nvGraphicFramePr>
            <xdr:cNvPr id="44" name="Director (1) 1">
              <a:extLst>
                <a:ext uri="{FF2B5EF4-FFF2-40B4-BE49-F238E27FC236}">
                  <a16:creationId xmlns:a16="http://schemas.microsoft.com/office/drawing/2014/main" id="{5270297A-C431-4CD7-B070-C42BE4C46497}"/>
                </a:ext>
              </a:extLst>
            </xdr:cNvPr>
            <xdr:cNvGraphicFramePr/>
          </xdr:nvGraphicFramePr>
          <xdr:xfrm>
            <a:off x="0" y="0"/>
            <a:ext cx="0" cy="0"/>
          </xdr:xfrm>
          <a:graphic>
            <a:graphicData uri="http://schemas.microsoft.com/office/drawing/2010/slicer">
              <sle:slicer xmlns:sle="http://schemas.microsoft.com/office/drawing/2010/slicer" name="Director (1) 1"/>
            </a:graphicData>
          </a:graphic>
        </xdr:graphicFrame>
      </mc:Choice>
      <mc:Fallback xmlns="">
        <xdr:sp macro="" textlink="">
          <xdr:nvSpPr>
            <xdr:cNvPr id="0" name=""/>
            <xdr:cNvSpPr>
              <a:spLocks noTextEdit="1"/>
            </xdr:cNvSpPr>
          </xdr:nvSpPr>
          <xdr:spPr>
            <a:xfrm>
              <a:off x="198120" y="5036820"/>
              <a:ext cx="2369820" cy="1447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4</xdr:col>
      <xdr:colOff>419100</xdr:colOff>
      <xdr:row>24</xdr:row>
      <xdr:rowOff>76200</xdr:rowOff>
    </xdr:from>
    <xdr:to>
      <xdr:col>10</xdr:col>
      <xdr:colOff>205740</xdr:colOff>
      <xdr:row>35</xdr:row>
      <xdr:rowOff>45720</xdr:rowOff>
    </xdr:to>
    <mc:AlternateContent xmlns:mc="http://schemas.openxmlformats.org/markup-compatibility/2006">
      <mc:Choice xmlns:cx2="http://schemas.microsoft.com/office/drawing/2015/10/21/chartex" Requires="cx2">
        <xdr:graphicFrame macro="">
          <xdr:nvGraphicFramePr>
            <xdr:cNvPr id="45" name="Chart 44">
              <a:extLst>
                <a:ext uri="{FF2B5EF4-FFF2-40B4-BE49-F238E27FC236}">
                  <a16:creationId xmlns:a16="http://schemas.microsoft.com/office/drawing/2014/main" id="{1AAE6901-036F-4900-B98D-9DC4342F3B6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2857500" y="4465320"/>
              <a:ext cx="3444240" cy="1981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320040</xdr:colOff>
      <xdr:row>24</xdr:row>
      <xdr:rowOff>60960</xdr:rowOff>
    </xdr:from>
    <xdr:to>
      <xdr:col>16</xdr:col>
      <xdr:colOff>160020</xdr:colOff>
      <xdr:row>35</xdr:row>
      <xdr:rowOff>22860</xdr:rowOff>
    </xdr:to>
    <xdr:graphicFrame macro="">
      <xdr:nvGraphicFramePr>
        <xdr:cNvPr id="46" name="Chart 45">
          <a:extLst>
            <a:ext uri="{FF2B5EF4-FFF2-40B4-BE49-F238E27FC236}">
              <a16:creationId xmlns:a16="http://schemas.microsoft.com/office/drawing/2014/main" id="{F282B27B-B72F-495F-A210-AFF56916B2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viraj Chandel" refreshedDate="46189.449888078707" createdVersion="8" refreshedVersion="8" minRefreshableVersion="3" recordCount="508" xr:uid="{DB530BB5-19B9-4F4B-832F-0863C90F884D}">
  <cacheSource type="worksheet">
    <worksheetSource name="Movie_Data"/>
  </cacheSource>
  <cacheFields count="16">
    <cacheField name="Movie Title" numFmtId="0">
      <sharedItems count="508">
        <s v="10 Cloverfield Lane"/>
        <s v="13 Hours: The Secret Soldiers of Benghazi"/>
        <s v="2 Guns"/>
        <s v="21 Jump Street"/>
        <s v="22 Jump Street"/>
        <s v="300: Rise of an Empire"/>
        <s v="42"/>
        <s v="71"/>
        <s v="90 Minutes in Heaven"/>
        <s v="A Good Day to Die Hard"/>
        <s v="A Haunted House"/>
        <s v="A Haunted House 2"/>
        <s v="A Long Way Down"/>
        <s v="A Most Violent Year"/>
        <s v="A Most Wanted Man"/>
        <s v="A Thousand Words"/>
        <s v="A Walk Among the Tombstones"/>
        <s v="A Walk in the Woods"/>
        <s v="Abraham Lincoln: Vampire Hunter"/>
        <s v="After Earth"/>
        <s v="Ain't Them Bodies Saints"/>
        <s v="Alex Cross"/>
        <s v="Aloha"/>
        <s v="Alvin and the Chipmunks: The Road Chip"/>
        <s v="American Reunion"/>
        <s v="American Sniper"/>
        <s v="American Ultra"/>
        <s v="Amy"/>
        <s v="Annabelle"/>
        <s v="Annie"/>
        <s v="Ant-Man"/>
        <s v="Argo"/>
        <s v="As Above, So Below"/>
        <s v="Bad Moms"/>
        <s v="Barbershop: The Next Cut"/>
        <s v="Batman v Superman: Dawn of Justice"/>
        <s v="Batman: The Killing Joke"/>
        <s v="Battle of the Year"/>
        <s v="Battleship"/>
        <s v="Beasts of the Southern Wild"/>
        <s v="Beautiful Creatures"/>
        <s v="Before I Go to Sleep"/>
        <s v="Ben-Hur"/>
        <s v="Beyond the Lights"/>
        <s v="Big Eyes"/>
        <s v="Black Mass"/>
        <s v="Blackhat"/>
        <s v="Blended"/>
        <s v="Blue Jasmine"/>
        <s v="Boyhood"/>
        <s v="Brick Mansions"/>
        <s v="Bridge of Spies"/>
        <s v="Brooklyn"/>
        <s v="Bullet to the Head"/>
        <s v="Burnt"/>
        <s v="By the Sea"/>
        <s v="Captain America: The Winter Soldier"/>
        <s v="Captive"/>
        <s v="Carol"/>
        <s v="Central Intelligence"/>
        <s v="Cesar Chavez"/>
        <s v="Chappie"/>
        <s v="Chasing Mavericks"/>
        <s v="Chef"/>
        <s v="Chernobyl Diaries"/>
        <s v="Child 44"/>
        <s v="Chronicle"/>
        <s v="Cloud Atlas"/>
        <s v="Cloudy with a Chance of Meatballs 2"/>
        <s v="Concussion"/>
        <s v="Creed"/>
        <s v="Criminal"/>
        <s v="Crimson Peak"/>
        <s v="Daddy's Home"/>
        <s v="Danny Collins"/>
        <s v="Dark Shadows"/>
        <s v="Dark Skies"/>
        <s v="Dawn of the Planet of the Apes"/>
        <s v="Dead Man Down"/>
        <s v="Deadpool"/>
        <s v="Declaration of War"/>
        <s v="Deliver Us from Evil"/>
        <s v="Despicable Me 2"/>
        <s v="Devil's Due"/>
        <s v="Diary of a Wimpy Kid: Dog Days"/>
        <s v="Divergent"/>
        <s v="Django Unchained"/>
        <s v="Dolphin Tale 2"/>
        <s v="Don't Breathe"/>
        <s v="Dr. Seuss' The Lorax"/>
        <s v="Dracula Untold"/>
        <s v="Draft Day"/>
        <s v="Dragon Blade"/>
        <s v="Dumb and Dumber To"/>
        <s v="Earth to Echo"/>
        <s v="Eddie the Eagle"/>
        <s v="Edge of Tomorrow"/>
        <s v="Elysium"/>
        <s v="Embrace of the Serpent"/>
        <s v="End of Watch"/>
        <s v="Enough Said"/>
        <s v="Entourage"/>
        <s v="Epic"/>
        <s v="Escape from Planet Earth"/>
        <s v="Evil Dead"/>
        <s v="Ex Machina"/>
        <s v="Eye in the Sky"/>
        <s v="Fantastic Four"/>
        <s v="Fast &amp; Furious 6"/>
        <s v="Flight"/>
        <s v="Florence Foster Jenkins"/>
        <s v="Frances Ha"/>
        <s v="Free State of Jones"/>
        <s v="Friends with Kids"/>
        <s v="Fun Size"/>
        <s v="Fury"/>
        <s v="G.I. Joe: Retaliation"/>
        <s v="Gangster Squad"/>
        <s v="Get Hard"/>
        <s v="Get on Up"/>
        <s v="Getaway"/>
        <s v="Ghost Rider: Spirit of Vengeance"/>
        <s v="Ghostbusters"/>
        <s v="God's Not Dead"/>
        <s v="God's Not Dead 2"/>
        <s v="Gods of Egypt"/>
        <s v="Godzilla"/>
        <s v="Gone Girl"/>
        <s v="Good Deeds"/>
        <s v="Goosebumps"/>
        <s v="Grown Ups 2"/>
        <s v="Hail, Caesar!"/>
        <s v="Hands of Stone"/>
        <s v="Hansel and Gretel: Witch Hunters"/>
        <s v="Heaven Is for Real"/>
        <s v="Here Comes the Boom"/>
        <s v="Hit and Run"/>
        <s v="Hitman: Agent 47"/>
        <s v="Home"/>
        <s v="Hope Springs"/>
        <s v="Horrible Bosses 2"/>
        <s v="Hot Pursuit"/>
        <s v="Hotel Transylvania"/>
        <s v="Hotel Transylvania 2"/>
        <s v="How to Train Your Dragon 2"/>
        <s v="I"/>
        <s v="I Saw the Light"/>
        <s v="Ice Age: Collision Course"/>
        <s v="Ice Age: Continental Drift"/>
        <s v="Identity Thief"/>
        <s v="If I Stay"/>
        <s v="In the Heart of the Sea"/>
        <s v="Independence Day: Resurgence"/>
        <s v="Insidious: Chapter 2"/>
        <s v="Insidious: Chapter 3"/>
        <s v="Interstellar"/>
        <s v="Into the Storm"/>
        <s v="Iron Sky"/>
        <s v="Irrational Man"/>
        <s v="Jack Reacher"/>
        <s v="Jack Ryan: Shadow Recruit"/>
        <s v="Jane Got a Gun"/>
        <s v="Jason Bourne"/>
        <s v="Jeff, Who Lives at Home"/>
        <s v="Jem and the Holograms"/>
        <s v="Jersey Boys"/>
        <s v="Jobs"/>
        <s v="John Wick"/>
        <s v="Journey 2: The Mysterious Island"/>
        <s v="Joy"/>
        <s v="Keanu"/>
        <s v="Kill the Messenger"/>
        <s v="Killing Them Softly"/>
        <s v="Kingsman: The Secret Service"/>
        <s v="Krampus"/>
        <s v="Kubo and the Two Strings"/>
        <s v="Kung Fu Panda 3"/>
        <s v="Lazer Team"/>
        <s v="Left Behind"/>
        <s v="Les Misérables"/>
        <s v="Let's Be Cops"/>
        <s v="Life of Pi"/>
        <s v="Lights Out"/>
        <s v="Lincoln"/>
        <s v="Little Boy"/>
        <s v="Lockout"/>
        <s v="London Has Fallen"/>
        <s v="Looper"/>
        <s v="Love the Coopers"/>
        <s v="Lucy"/>
        <s v="Mad Max: Fury Road"/>
        <s v="Madagascar 3: Europe's Most Wanted"/>
        <s v="Magic in the Moonlight"/>
        <s v="Mama"/>
        <s v="Man of Steel"/>
        <s v="Man on a Ledge"/>
        <s v="Max"/>
        <s v="Maze Runner: The Scorch Trials"/>
        <s v="Me and Earl and the Dying Girl"/>
        <s v="Me Before You"/>
        <s v="Mechanic: Resurrection"/>
        <s v="Men in Black 3"/>
        <s v="Midnight Special"/>
        <s v="Miracles from Heaven"/>
        <s v="Mirror Mirror"/>
        <s v="Mission: Impossible – Rogue Nation"/>
        <s v="Moms' Night Out"/>
        <s v="Money Monster"/>
        <s v="Monster Hunt"/>
        <s v="Moonrise Kingdom ₪"/>
        <s v="Mortdecai"/>
        <s v="Mother's Day"/>
        <s v="Mr. Peabody &amp; Sherman"/>
        <s v="Mud"/>
        <s v="Mustang"/>
        <s v="My All American"/>
        <s v="My Big Fat Greek Wedding 2"/>
        <s v="Need for Speed"/>
        <s v="Neighbors"/>
        <s v="Neighbors 2: Sorority Rising"/>
        <s v="Nerve"/>
        <s v="Night at the Museum: Secret of the Tomb"/>
        <s v="Nightcrawler"/>
        <s v="Nine Lives"/>
        <s v="No Escape"/>
        <s v="No Good Deed"/>
        <s v="No One Lives"/>
        <s v="Noah"/>
        <s v="Non-Stop"/>
        <s v="Now You See Me"/>
        <s v="Now You See Me 2"/>
        <s v="Oblivion"/>
        <s v="Olympus Has Fallen"/>
        <s v="One Direction: This Is Us"/>
        <s v="One for the Money"/>
        <s v="Ouija"/>
        <s v="Our Brand Is Crisis"/>
        <s v="Pacific Rim"/>
        <s v="Pain &amp; Gain"/>
        <s v="Pan"/>
        <s v="Paper Towns"/>
        <s v="Paranormal Activity 4"/>
        <s v="Paranormal Activity: The Ghost Dimension"/>
        <s v="ParaNorman"/>
        <s v="Parental Guidance"/>
        <s v="Parker"/>
        <s v="Paul Blart: Mall Cop 2"/>
        <s v="Pawn Sacrifice"/>
        <s v="Penguins of Madagascar"/>
        <s v="People Like Us"/>
        <s v="Percy Jackson: Sea of Monsters"/>
        <s v="Pitch Perfect"/>
        <s v="Pitch Perfect 2"/>
        <s v="Pixels"/>
        <s v="Point Break"/>
        <s v="Polis Evo"/>
        <s v="Poltergeist"/>
        <s v="Pompeii"/>
        <s v="Popstar: Never Stop Never Stopping"/>
        <s v="Premium Rush"/>
        <s v="Pride and Prejudice and Zombies"/>
        <s v="Prisoners"/>
        <s v="Project Almanac"/>
        <s v="Project X"/>
        <s v="Prometheus"/>
        <s v="Promised Land"/>
        <s v="R.I.P.D."/>
        <s v="Race"/>
        <s v="Raiders of the Lost Ark: The IMAX Experience"/>
        <s v="Rams"/>
        <s v="Ratchet &amp; Clank"/>
        <s v="RED 2"/>
        <s v="Red Dawn"/>
        <s v="Red Tails"/>
        <s v="Resident Evil: Retribution"/>
        <s v="Ricki and the Flash"/>
        <s v="Riddick"/>
        <s v="Ride Along"/>
        <s v="Ride Along 2"/>
        <s v="Rio 2"/>
        <s v="Rise of the Guardians"/>
        <s v="Risen"/>
        <s v="RoboCop"/>
        <s v="Robot &amp; Frank"/>
        <s v="Rock of Ages"/>
        <s v="Rock the Kasbah"/>
        <s v="Romeo and Juliet"/>
        <s v="Room"/>
        <s v="Run All Night"/>
        <s v="Runner, Runner"/>
        <s v="Rush"/>
        <s v="Sabotage"/>
        <s v="Safe House"/>
        <s v="Salmon Fishing in the Yemen"/>
        <s v="Savages"/>
        <s v="Scary Movie 5"/>
        <s v="Secret in Their Eyes"/>
        <s v="Self/less"/>
        <s v="Selma"/>
        <s v="Seventh Son"/>
        <s v="Shaun the Sheep Movie"/>
        <s v="Sicario"/>
        <s v="Side Effects"/>
        <s v="Silent Hill: Revelation 3D"/>
        <s v="Silver Linings Playbook"/>
        <s v="Sin City: A Dame to Kill For"/>
        <s v="Sinister"/>
        <s v="Sinister 2"/>
        <s v="Sisters"/>
        <s v="Snitch"/>
        <s v="Snow White and the Huntsman"/>
        <s v="Son of God"/>
        <s v="Son of Saul"/>
        <s v="Southpaw"/>
        <s v="Spotlight"/>
        <s v="Spy"/>
        <s v="St. Vincent"/>
        <s v="Stand by Me Doraemon"/>
        <s v="Star Trek Beyond"/>
        <s v="Step Up: All In"/>
        <s v="Steve Jobs"/>
        <s v="Straight Outta Compton"/>
        <s v="Suffragette"/>
        <s v="Suicide Squad"/>
        <s v="Taken 2"/>
        <s v="Tammy"/>
        <s v="Ted"/>
        <s v="Ted 2"/>
        <s v="Teenage Mutant Ninja Turtles"/>
        <s v="Teenage Mutant Ninja Turtles: Out of the Shadows"/>
        <s v="Terminator Genisys"/>
        <s v="Texas Chainsaw 3D"/>
        <s v="That Awkward Moment"/>
        <s v="The 33"/>
        <s v="The 5th Wave"/>
        <s v="The Age of Adaline"/>
        <s v="The Amazing Spider-Man"/>
        <s v="The Angry Birds Movie"/>
        <s v="The Best Exotic Marigold Hotel ₪"/>
        <s v="The Big Short"/>
        <s v="The Bling Ring"/>
        <s v="The Book of Life"/>
        <s v="The Boss"/>
        <s v="The Bourne Legacy"/>
        <s v="The Boxtrolls"/>
        <s v="The Boy"/>
        <s v="The Butler"/>
        <s v="The Cabin in the Woods"/>
        <s v="The Call"/>
        <s v="The Campaign"/>
        <s v="The Cold Light of Day"/>
        <s v="The Collection"/>
        <s v="The Conjuring"/>
        <s v="The Conjuring 2"/>
        <s v="The Croods"/>
        <s v="The Danish Girl"/>
        <s v="The Darkness"/>
        <s v="The Devil Inside"/>
        <s v="The Dictator"/>
        <s v="The Divergent Series: Allegiant"/>
        <s v="The Divergent Series: Insurgent"/>
        <s v="The Drop"/>
        <s v="The Duff"/>
        <s v="The East"/>
        <s v="The Equalizer"/>
        <s v="The Expendables 2"/>
        <s v="The Expendables 3"/>
        <s v="The Family"/>
        <s v="The Fault in Our Stars"/>
        <s v="The Five-Year Engagement"/>
        <s v="The Forest"/>
        <s v="The Gift"/>
        <s v="The Giver"/>
        <s v="The Grand Budapest Hotel"/>
        <s v="The Great Gatsby"/>
        <s v="The Grey"/>
        <s v="The Gunman"/>
        <s v="The Hangover Part III"/>
        <s v="The Hateful Eight"/>
        <s v="The Heat"/>
        <s v="The Hobbit: The Battle of the Five Armies"/>
        <s v="The Host"/>
        <s v="The Hundred-Foot Journey"/>
        <s v="The Hunger Games"/>
        <s v="The Hunger Games: Mockingjay – Part 1"/>
        <s v="The Hunger Games: Mockingjay – Part 2"/>
        <s v="The Huntsman: Winter's War"/>
        <s v="The Iceman"/>
        <s v="The Identical"/>
        <s v="The Imitation Game"/>
        <s v="The Impossible"/>
        <s v="The Incredible Burt Wonderstone"/>
        <s v="The Infiltrator"/>
        <s v="The Intern"/>
        <s v="The Internship"/>
        <s v="The Interview"/>
        <s v="The Judge"/>
        <s v="The Lady in the Van"/>
        <s v="The Last Exorcism Part II"/>
        <s v="The Last Stand"/>
        <s v="The Last Witch Hunter"/>
        <s v="The Lazarus Effect"/>
        <s v="The Legend of Hercules"/>
        <s v="The Legend of Tarzan"/>
        <s v="The Lego Movie"/>
        <s v="The Letters"/>
        <s v="The Lucky One"/>
        <s v="The Man from U.N.C.L.E."/>
        <s v="The Man with the Iron Fists"/>
        <s v="The Martian"/>
        <s v="The Master"/>
        <s v="The Maze Runner"/>
        <s v="The Mermaid"/>
        <s v="The Monuments Men"/>
        <s v="The Mortal Instruments: City of Bones"/>
        <s v="The Night Before"/>
        <s v="The November Man"/>
        <s v="The Nut Job"/>
        <s v="The Oogieloves in the Big Balloon Adventure"/>
        <s v="The Other Woman"/>
        <s v="The Peanuts Movie"/>
        <s v="The Perfect Guy"/>
        <s v="The Perfect Match"/>
        <s v="The Perks of Being a Wallflower"/>
        <s v="The Pirates! Band of Misfits"/>
        <s v="The Place Beyond the Pines"/>
        <s v="The Possession"/>
        <s v="The Purge"/>
        <s v="The Purge: Election Year"/>
        <s v="The Raid 2"/>
        <s v="The Raid: Redemption ₪"/>
        <s v="The Raven"/>
        <s v="The Revenant"/>
        <s v="The Second Best Exotic Marigold Hotel"/>
        <s v="The Second Mother"/>
        <s v="The Secret Life of Pets"/>
        <s v="The Secret World of Arrietty"/>
        <s v="The Shallows"/>
        <s v="The Signal"/>
        <s v="The Single Moms Club"/>
        <s v="The Smurfs 2"/>
        <s v="The Spectacular Now"/>
        <s v="The SpongeBob Movie: Sponge Out of Water"/>
        <s v="The Sweet Escape"/>
        <s v="The Theory of Everything"/>
        <s v="The Three Stooges"/>
        <s v="The Transporter Refueled"/>
        <s v="The Twilight Saga: Breaking Dawn – Part 2"/>
        <s v="The Vatican Tapes"/>
        <s v="The Visit"/>
        <s v="The Walk"/>
        <s v="The Watch"/>
        <s v="The Water Diviner"/>
        <s v="The Way, Way Back"/>
        <s v="The Wedding Ringer"/>
        <s v="The Witch"/>
        <s v="The Wolverine"/>
        <s v="The Woman in Black"/>
        <s v="The Woman in Black: Angel of Death"/>
        <s v="The World's End"/>
        <s v="The Young Messiah"/>
        <s v="Think Like a Man"/>
        <s v="This Is the End"/>
        <s v="This Is Where I Leave You"/>
        <s v="This Means War"/>
        <s v="Top Five"/>
        <s v="Top Gun 3D"/>
        <s v="Total Recall"/>
        <s v="Trance"/>
        <s v="Transcendence"/>
        <s v="Triple 9"/>
        <s v="Trouble with the Curve"/>
        <s v="Trumbo"/>
        <s v="Truth"/>
        <s v="Turbo"/>
        <s v="Tusk"/>
        <s v="Unbroken"/>
        <s v="Unfinished Business"/>
        <s v="Unfriended"/>
        <s v="Vacation"/>
        <s v="Vampire Academy"/>
        <s v="Veronica Mars"/>
        <s v="Victor Frankenstein"/>
        <s v="Wanderlust"/>
        <s v="War Dogs"/>
        <s v="War Room"/>
        <s v="Warcraft"/>
        <s v="Warm Bodies"/>
        <s v="What Maisie Knew"/>
        <s v="What to Expect When You're Expecting"/>
        <s v="When the Game Stands Tall"/>
        <s v="Whiplash"/>
        <s v="Whiskey Tango Foxtrot"/>
        <s v="White House Down"/>
        <s v="Wild"/>
        <s v="Winter's Tale"/>
        <s v="Wish I Was Here"/>
        <s v="Woman in Gold"/>
        <s v="Won't Back Down"/>
        <s v="Woodlawn"/>
        <s v="World War Z"/>
        <s v="Wrath of the Titans"/>
        <s v="X-Men: Apocalypse"/>
        <s v="X-Men: Days of Future Past"/>
        <s v="You're Next"/>
        <s v="Zero Dark Thirty"/>
        <s v="Zhong Kui: Snow Girl and the Dark Crystal"/>
        <s v="Zoolander 2"/>
      </sharedItems>
    </cacheField>
    <cacheField name="Release Date" numFmtId="14">
      <sharedItems containsSemiMixedTypes="0" containsNonDate="0" containsDate="1" containsString="0" minDate="2012-01-06T00:00:00" maxDate="2016-08-27T00:00:00"/>
    </cacheField>
    <cacheField name="Year" numFmtId="0">
      <sharedItems containsSemiMixedTypes="0" containsString="0" containsNumber="1" containsInteger="1" minValue="2012" maxValue="2016" count="5">
        <n v="2016"/>
        <n v="2013"/>
        <n v="2012"/>
        <n v="2014"/>
        <n v="2015"/>
      </sharedItems>
    </cacheField>
    <cacheField name="Genre" numFmtId="0">
      <sharedItems count="17">
        <s v="Thriller"/>
        <s v="Action"/>
        <s v="Comedy"/>
        <s v="Biography"/>
        <s v="Drama"/>
        <s v="Crime"/>
        <s v="Adventure"/>
        <s v="Horror"/>
        <s v="Sci-Fi"/>
        <s v="Romance"/>
        <s v="Musical"/>
        <s v="Fantasy"/>
        <s v="Mystery"/>
        <s v="Family"/>
        <s v="Religious"/>
        <s v="Animation"/>
        <s v="Documentary"/>
      </sharedItems>
    </cacheField>
    <cacheField name="Director (1)" numFmtId="0">
      <sharedItems count="414">
        <s v="Dan Trachtenberg"/>
        <s v="Michael Bay"/>
        <s v="Baltasar Kormákur"/>
        <s v="Phil Lord"/>
        <s v="Noam Murro"/>
        <s v="Brian Helgeland"/>
        <s v="Yann Demange"/>
        <s v="Michael Polish"/>
        <s v="John Moore"/>
        <s v="Michael Tiddes"/>
        <s v="Pascal Chaumeil"/>
        <s v="J. C. Chandor"/>
        <s v="Anton Corbijn"/>
        <s v="Brian Robbins"/>
        <s v="Scott Frank"/>
        <s v="Ken Kwapis"/>
        <s v="Timur Bekmambetov"/>
        <s v="M. Night Shyamalan"/>
        <s v="David Lowery"/>
        <s v="Rob Cohen"/>
        <s v="Cameron Crowe"/>
        <s v="Walt Becker"/>
        <s v="Jon Hurwitz"/>
        <s v="Clint Eastwood"/>
        <s v="Nima Nourizadeh"/>
        <s v="Asif Kapadia"/>
        <s v="John R. Leonetti"/>
        <s v="Will Gluck"/>
        <s v="Peyton Reed"/>
        <s v="Ben Affleck"/>
        <s v="John Erick Dowdle"/>
        <s v="Jon Lucas"/>
        <s v="Malcolm D. Lee"/>
        <s v="Zack Snyder"/>
        <s v="Sam Liu"/>
        <s v="Benson Lee"/>
        <s v="Peter Berg"/>
        <s v="Benh Zeitlin"/>
        <s v="Richard LaGravenese"/>
        <s v="Rowan Joffé"/>
        <s v="Gina Prince-Bythewood"/>
        <s v="Tim Burton"/>
        <s v="Scott Cooper"/>
        <s v="Michael Mann"/>
        <s v="Frank Coraci"/>
        <s v="Woody Allen"/>
        <s v="Richard Linklater"/>
        <s v="Camille Delamarre"/>
        <s v="Steven Spielberg"/>
        <s v="John Crowley"/>
        <s v="Walter Hill"/>
        <s v="John Wells"/>
        <s v="Angelina Jolie"/>
        <s v="Anthony Russo"/>
        <s v="Jerry Jameson"/>
        <s v="Todd Haynes"/>
        <s v="Rawson Marshall Thurber"/>
        <s v="Diego Luna"/>
        <s v="Neill Blomkamp"/>
        <s v="Curtis Hanson"/>
        <s v="Jon Favreau"/>
        <s v="Bradley Parker"/>
        <s v="Daniel Espinosa"/>
        <s v="Josh Trank"/>
        <s v="Tom Tykwer"/>
        <s v="Cody Cameron"/>
        <s v="Peter Landesman"/>
        <s v="Ryan Coogler"/>
        <s v="Ariel Vromen"/>
        <s v="Guillermo del Toro"/>
        <s v="Sean Anders"/>
        <s v="Dan Fogelman"/>
        <s v="Scott Charles Stewart"/>
        <s v="Matt Reeves"/>
        <s v="Niels Arden Oplev"/>
        <s v="Tim Miller"/>
        <s v="Valérie Donzelli"/>
        <s v="Scott Derrickson"/>
        <s v="Chris Renaud"/>
        <s v="Matt Bettinelli-Olpin"/>
        <s v="David Bowers"/>
        <s v="Neil Burger"/>
        <s v="Quentin Tarantino"/>
        <s v="Charles Martin Smith"/>
        <s v="Fede Alvarez"/>
        <s v="Gary Shore"/>
        <s v="Ivan Reitman"/>
        <s v="Daniel Lee"/>
        <s v="Peter Farrelly"/>
        <s v="Dave Green"/>
        <s v="Dexter Fletcher"/>
        <s v="Doug Liman"/>
        <s v="Ciro Guerra"/>
        <s v="David Ayer"/>
        <s v="Nicole Holofcener"/>
        <s v="Doug Ellin"/>
        <s v="Chris Wedge"/>
        <s v="Cal Brunker"/>
        <s v="Alex Garland"/>
        <s v="Gavin Hood"/>
        <s v="Justin Lin"/>
        <s v="Robert Zemeckis"/>
        <s v="Stephen Frears"/>
        <s v="Noah Baumbach"/>
        <s v="Gary Ross"/>
        <s v="Jennifer Westfeldt"/>
        <s v="Josh Schwartz"/>
        <s v="Jon Chu"/>
        <s v="Ruben Fleischer"/>
        <s v="Etan Cohen"/>
        <s v="Tate Taylor"/>
        <s v="Courtney Solomon"/>
        <s v="Mark Neveldine"/>
        <s v="Paul Feig"/>
        <s v="Harold Cronk"/>
        <s v="Alex Proyas"/>
        <s v="Gareth Edwards"/>
        <s v="David Fincher"/>
        <s v="Tyler Perry"/>
        <s v="Rob Letterman"/>
        <s v="Dennis Dugan"/>
        <s v="Joel and Ethan Coen"/>
        <s v="Jonathan Jakubowicz"/>
        <s v="Tommy Wirkola"/>
        <s v="Randall Wallace"/>
        <s v="Dax Shepard"/>
        <s v="Aleksander Bach"/>
        <s v="Tim Johnson"/>
        <s v="David Frankel"/>
        <s v="Anne Fletcher"/>
        <s v="Genndy Tartakovsky"/>
        <s v="Dean DeBlois"/>
        <s v="S. Shankar"/>
        <s v="Marc Abraham"/>
        <s v="Mike Thurmeier"/>
        <s v="Steve Martino"/>
        <s v="Seth Gordon"/>
        <s v="R. J. Cutler"/>
        <s v="Ron Howard"/>
        <s v="Roland Emmerich"/>
        <s v="James Wan"/>
        <s v="Leigh Whannell"/>
        <s v="Christopher Nolan"/>
        <s v="Steven Quale"/>
        <s v="Timo Vuorensola"/>
        <s v="Christopher McQuarrie"/>
        <s v="Kenneth Branagh"/>
        <s v="Gavin O'Connor"/>
        <s v="Paul Greengrass"/>
        <s v="Jay Duplass"/>
        <s v="Jon M. Chu"/>
        <s v="Joshua Michael Stern"/>
        <s v="Chad Stahelski"/>
        <s v="Brad Peyton"/>
        <s v="David O. Russell"/>
        <s v="Peter Atencio"/>
        <s v="Michael Cuesta"/>
        <s v="Andrew Dominik"/>
        <s v="Matthew Vaughn"/>
        <s v="Michael Dougherty"/>
        <s v="Travis Knight"/>
        <s v="Jennifer Yuh Nelson"/>
        <s v="Matt Hullum"/>
        <s v="Vic Armstrong"/>
        <s v="Tom Hooper"/>
        <s v="Luke Greenfield"/>
        <s v="Ang Lee"/>
        <s v="David F. Sandberg"/>
        <s v="Alejandro Gómez Monteverde"/>
        <s v="James Mather"/>
        <s v="Babak Najafi"/>
        <s v="Rian Johnson"/>
        <s v="Jessie Nelson"/>
        <s v="Luc Besson"/>
        <s v="George Miller"/>
        <s v="Eric Darnell"/>
        <s v="Andres Muschietti"/>
        <s v="Asger Leth"/>
        <s v="Boaz Yakin"/>
        <s v="Wes Ball"/>
        <s v="Alfonso Gomez-Rejon"/>
        <s v="Thea Sharrock"/>
        <s v="Dennis Gansel"/>
        <s v="Barry Sonnenfeld"/>
        <s v="Jeff Nichols"/>
        <s v="Patricia Riggen"/>
        <s v="Tarsem Singh"/>
        <s v="Andrew Erwin and Jon Erwin"/>
        <s v="Jodie Foster"/>
        <s v="Raman Hui"/>
        <s v="Wes Anderson"/>
        <s v="David Koepp"/>
        <s v="Garry Marshall"/>
        <s v="Rob Minkoff"/>
        <s v="Deniz Gamze Ergüven"/>
        <s v="Angelo Pizzo"/>
        <s v="Kirk Jones"/>
        <s v="Scott Waugh"/>
        <s v="Nicholas Stoller"/>
        <s v="Henry Joost"/>
        <s v="Shawn Levy"/>
        <s v="Dan Gilroy"/>
        <s v="Sam Miller"/>
        <s v="Ryuhei Kitamura"/>
        <s v="Darren Aronofsky"/>
        <s v="Jaume Collet-Serra"/>
        <s v="Louis Leterrier"/>
        <s v="Joseph Kosinski"/>
        <s v="Antoine Fuqua"/>
        <s v="Morgan Spurlock"/>
        <s v="Julie Anne Robinson"/>
        <s v="Stiles White"/>
        <s v="David Gordon Green"/>
        <s v="Joe Wright"/>
        <s v="Jake Schreier"/>
        <s v="Ariel Schulman"/>
        <s v="Gregory Plotkin"/>
        <s v="Chris Butler"/>
        <s v="Andy Fickman"/>
        <s v="Taylor Hackford"/>
        <s v="Ed Zwick"/>
        <s v="Simon J. Smith"/>
        <s v="Alex Kurtzman"/>
        <s v="Thor Freudenthal"/>
        <s v="Jason Moore"/>
        <s v="Elizabeth Banks"/>
        <s v="Chris Columbus"/>
        <s v="Ericson Core"/>
        <s v="Ghaz Abu Bakar"/>
        <s v="Gil Kenan"/>
        <s v="Paul W. S. Anderson"/>
        <s v="Jorma Taccone"/>
        <s v="Burr Steers"/>
        <s v="Denis Villeneuve"/>
        <s v="Dean Israelite"/>
        <s v="Ridley Scott"/>
        <s v="Gus Van Sant"/>
        <s v="Robert Schwentke"/>
        <s v="Stephen Hopkins"/>
        <s v="Grímur Hákonarson"/>
        <s v="Jerrica Cleland"/>
        <s v="Dean Parisot"/>
        <s v="Dan Bradley"/>
        <s v="Anthony Hemingway"/>
        <s v="Jonathan Demme"/>
        <s v="David Twohy"/>
        <s v="Tim Story"/>
        <s v="Carlos Saldanha"/>
        <s v="Peter Ramsey"/>
        <s v="Kevin Reynolds"/>
        <s v="José Padilha"/>
        <s v="Adam Shankman"/>
        <s v="Barry Levinson"/>
        <s v="Carlo Carlei"/>
        <s v="Lenny Abrahamson"/>
        <s v="Brad Furman"/>
        <s v="Lasse Hallström"/>
        <s v="Oliver Stone"/>
        <s v="Billy Ray"/>
        <s v="Ava DuVernay"/>
        <s v="Sergei Bodrov"/>
        <s v="Mark Burton"/>
        <s v="Steven Soderbergh"/>
        <s v="Michael J. Bassett"/>
        <s v="Frank Miller"/>
        <s v="Ciaran Foy"/>
        <s v="Ric Roman Waugh"/>
        <s v="Rupert Sanders"/>
        <s v="Christopher Spencer"/>
        <s v="László Nemes"/>
        <s v="Tom McCarthy"/>
        <s v="Theodore Melfi"/>
        <s v="Takashi Yamazaki"/>
        <s v="Trish Sie"/>
        <s v="Danny Boyle"/>
        <s v="F. Gary Gray"/>
        <s v="Sarah Gavron"/>
        <s v="Olivier Megaton"/>
        <s v="Ben Falcone"/>
        <s v="Seth MacFarlane"/>
        <s v="Jonathan Liebesman"/>
        <s v="Alan Taylor"/>
        <s v="John Luessenhop"/>
        <s v="Tom Gormican"/>
        <s v="J Blakeson"/>
        <s v="Lee Toland Krieger"/>
        <s v="Marc Webb"/>
        <s v="Clay Kaytis"/>
        <s v="John Madden"/>
        <s v="Adam McKay"/>
        <s v="Sofia Coppola"/>
        <s v="Jorge R. Gutierrez"/>
        <s v="Tony Gilroy"/>
        <s v="Anthony Stacchi"/>
        <s v="William Brent Bell"/>
        <s v="Lee Daniels"/>
        <s v="Drew Goddard"/>
        <s v="Brad Anderson"/>
        <s v="Jay Roach"/>
        <s v="Mabrouk El Mechri"/>
        <s v="Marcus Dunstan"/>
        <s v="Chris Sanders"/>
        <s v="Greg McLean"/>
        <s v="Larry Charles"/>
        <s v="Michaël R. Roskam"/>
        <s v="Ari Sandel"/>
        <s v="Zal Batmanglij"/>
        <s v="Simon West"/>
        <s v="Patrick Hughes"/>
        <s v="Josh Boone"/>
        <s v="Jason Zada"/>
        <s v="Joel Edgerton"/>
        <s v="Phillip Noyce"/>
        <s v="Baz Luhrmann"/>
        <s v="Joe Carnahan"/>
        <s v="Pierre Morel"/>
        <s v="Todd Phillips"/>
        <s v="Peter Jackson"/>
        <s v="Andrew Niccol"/>
        <s v="Francis Lawrence"/>
        <s v="Cedric Nicolas-Troyan"/>
        <s v="Dustin Marcellino"/>
        <s v="Morten Tyldum"/>
        <s v="Juan Antonio Bayona"/>
        <s v="Don Scardino"/>
        <s v="Nancy Meyers"/>
        <s v="Seth Rogen"/>
        <s v="David Dobkin"/>
        <s v="Nicholas Hytner"/>
        <s v="Ed Gass-Donnelly"/>
        <s v="Kim Ji-woon"/>
        <s v="Breck Eisner"/>
        <s v="David Gelb"/>
        <s v="Renny Harlin"/>
        <s v="David Yates"/>
        <s v="William Riead"/>
        <s v="Scott Hicks"/>
        <s v="Guy Ritchie"/>
        <s v="RZA"/>
        <s v="Paul Thomas Anderson"/>
        <s v="Stephen Chow"/>
        <s v="George Clooney"/>
        <s v="Harald Zwart"/>
        <s v="Jonathan Levine"/>
        <s v="Roger Donaldson"/>
        <s v="Peter Lepeniotis"/>
        <s v="Matthew Diamond"/>
        <s v="Nick Cassavetes"/>
        <s v="David M. Rosenthal"/>
        <s v="Bille Woodruff"/>
        <s v="Stephen Chbosky"/>
        <s v="Peter Lord"/>
        <s v="Derek Cianfrance"/>
        <s v="Ole Bornedal"/>
        <s v="James DeMonaco"/>
        <s v="Gareth Evans"/>
        <s v="James McTeigue"/>
        <s v="Alejandro G. Iñárritu"/>
        <s v="Anna Muylaert"/>
        <s v="Gary Rydstrom"/>
        <s v="William Eubank"/>
        <s v="Raja Gosnell"/>
        <s v="James Ponsoldt"/>
        <s v="Paul Tibbitt"/>
        <s v="Bruno Podalydès"/>
        <s v="James Marsh"/>
        <s v="Bobby Farrelly"/>
        <s v="Bill Condon"/>
        <s v="Akiva Schaffer"/>
        <s v="Russell Crowe"/>
        <s v="Nat Faxon"/>
        <s v="Jeremy Garelick"/>
        <s v="Robert Eggers"/>
        <s v="James Mangold"/>
        <s v="James Watkins"/>
        <s v="Tom Harper"/>
        <s v="Edgar Wright"/>
        <s v="Cyrus Nowrasteh"/>
        <s v="Evan Goldberg"/>
        <s v="McG"/>
        <s v="Chris Rock"/>
        <s v="Tony Scott"/>
        <s v="Len Wiseman"/>
        <s v="Wally Pfister"/>
        <s v="John Hillcoat"/>
        <s v="Robert Lorenz"/>
        <s v="James Vanderbilt"/>
        <s v="David Soren"/>
        <s v="Kevin Smith"/>
        <s v="Ken Scott"/>
        <s v="Levan Gabriadze"/>
        <s v="John Francis Daley"/>
        <s v="Mark Waters"/>
        <s v="Rob Thomas"/>
        <s v="Paul McGuigan"/>
        <s v="David Wain"/>
        <s v="Alex Kendrick"/>
        <s v="Duncan Jones"/>
        <s v="Scott McGehee"/>
        <s v="Thomas Carter"/>
        <s v="Damien Chazelle"/>
        <s v="Glenn Ficarra"/>
        <s v="Jean-Marc Vallée"/>
        <s v="Akiva Goldsman"/>
        <s v="Zach Braff"/>
        <s v="Simon Curtis"/>
        <s v="Daniel Barnz"/>
        <s v="The Erwin Brothers"/>
        <s v="Marc Forster"/>
        <s v="Bryan Singer"/>
        <s v="Adam Wingard"/>
        <s v="Kathryn Bigelow"/>
        <s v="Peter Pau"/>
        <s v="Ben Stiller"/>
      </sharedItems>
    </cacheField>
    <cacheField name="Director (2)" numFmtId="0">
      <sharedItems count="40">
        <s v=""/>
        <s v="Chris Miller"/>
        <s v="Scott Moore"/>
        <s v="Bruce Timm"/>
        <s v="Joe Russo"/>
        <s v="Michael Apted"/>
        <s v="Andy Wachowski"/>
        <s v="Kris Pearn"/>
        <s v="John Morris"/>
        <s v="Paul Harris"/>
        <s v="Pierre Coffin"/>
        <s v="Tyler Gillett"/>
        <s v="Bobby Farrelly"/>
        <s v="Yaron Levy"/>
        <s v="Brian Taylor"/>
        <s v="Tom Hiddleston"/>
        <s v="Galen T. Chu"/>
        <s v="Mike Thurmeier"/>
        <s v="David Leitch (director"/>
        <s v="Alessandro Carloni"/>
        <s v="Stephen St.Leger"/>
        <s v="Ariel Schulman"/>
        <s v="Henry Joost"/>
        <s v="Akiva Schaffer"/>
        <s v="Kevin Munroe"/>
        <s v="Robert Rodriguez"/>
        <s v="Ryuichi Yagi"/>
        <s v="Fergal Reilly"/>
        <s v="Graham Annable"/>
        <s v="Kirk DeMicco"/>
        <s v="Evan Goldberg"/>
        <s v="Jeff Newitt"/>
        <s v="Yarrow Cheney"/>
        <s v="Jonathan Aibel"/>
        <s v="Peter Farrelly"/>
        <s v="Jim Rash"/>
        <s v="Seth Rogen"/>
        <s v="Jonathan Goldstein"/>
        <s v="David Siegel"/>
        <s v="John Requa"/>
      </sharedItems>
    </cacheField>
    <cacheField name="Cast (1)" numFmtId="0">
      <sharedItems/>
    </cacheField>
    <cacheField name="Cast (2)" numFmtId="0">
      <sharedItems/>
    </cacheField>
    <cacheField name="Cast (3)" numFmtId="0">
      <sharedItems/>
    </cacheField>
    <cacheField name="Cast (4)" numFmtId="0">
      <sharedItems/>
    </cacheField>
    <cacheField name="Cast (5)" numFmtId="0">
      <sharedItems/>
    </cacheField>
    <cacheField name="Budget " numFmtId="0">
      <sharedItems containsSemiMixedTypes="0" containsString="0" containsNumber="1" containsInteger="1" minValue="1000000" maxValue="250000000" count="147">
        <n v="15000000"/>
        <n v="45000000"/>
        <n v="61000000"/>
        <n v="55000000"/>
        <n v="84500000"/>
        <n v="110000000"/>
        <n v="40000000"/>
        <n v="8100000"/>
        <n v="5000000"/>
        <n v="92000000"/>
        <n v="2500000"/>
        <n v="4000000"/>
        <n v="22700000"/>
        <n v="20000000"/>
        <n v="28000000"/>
        <n v="8000000"/>
        <n v="99500000"/>
        <n v="130000000"/>
        <n v="35000000"/>
        <n v="52000000"/>
        <n v="90000000"/>
        <n v="50000000"/>
        <n v="58800000"/>
        <n v="3400000"/>
        <n v="6500000"/>
        <n v="65000000"/>
        <n v="44500000"/>
        <n v="250000000"/>
        <n v="3500000"/>
        <n v="220000000"/>
        <n v="1800000"/>
        <n v="60000000"/>
        <n v="22000000"/>
        <n v="100000000"/>
        <n v="7000000"/>
        <n v="10000000"/>
        <n v="53000000"/>
        <n v="70000000"/>
        <n v="18000000"/>
        <n v="23000000"/>
        <n v="11000000"/>
        <n v="170000000"/>
        <n v="2000000"/>
        <n v="11800000"/>
        <n v="49000000"/>
        <n v="1000000"/>
        <n v="12000000"/>
        <n v="128500000"/>
        <n v="78000000"/>
        <n v="57000000"/>
        <n v="31500000"/>
        <n v="69000000"/>
        <n v="150000000"/>
        <n v="235000000"/>
        <n v="30000000"/>
        <n v="58000000"/>
        <n v="1500000"/>
        <n v="76000000"/>
        <n v="85000000"/>
        <n v="36000000"/>
        <n v="9900000"/>
        <n v="25000000"/>
        <n v="13000000"/>
        <n v="178000000"/>
        <n v="115000000"/>
        <n v="1400000"/>
        <n v="39000000"/>
        <n v="93000000"/>
        <n v="17000000"/>
        <n v="120000000"/>
        <n v="160000000"/>
        <n v="31000000"/>
        <n v="19000000"/>
        <n v="3000000"/>
        <n v="14000000"/>
        <n v="68000000"/>
        <n v="75000000"/>
        <n v="144000000"/>
        <n v="140000000"/>
        <n v="84000000"/>
        <n v="80000000"/>
        <n v="42000000"/>
        <n v="135000000"/>
        <n v="145000000"/>
        <n v="105000000"/>
        <n v="95000000"/>
        <n v="165000000"/>
        <n v="7500000"/>
        <n v="58600000"/>
        <n v="79000000"/>
        <n v="94000000"/>
        <n v="2400000"/>
        <n v="16000000"/>
        <n v="4900000"/>
        <n v="24000000"/>
        <n v="16800000"/>
        <n v="225000000"/>
        <n v="215000000"/>
        <n v="27000000"/>
        <n v="56000000"/>
        <n v="1300000"/>
        <n v="127000000"/>
        <n v="8500000"/>
        <n v="13200000"/>
        <n v="2900000"/>
        <n v="125000000"/>
        <n v="190000000"/>
        <n v="26000000"/>
        <n v="132000000"/>
        <n v="29000000"/>
        <n v="129000000"/>
        <n v="46000000"/>
        <n v="1750000"/>
        <n v="103000000"/>
        <n v="61600000"/>
        <n v="38000000"/>
        <n v="14400000"/>
        <n v="19500000"/>
        <n v="21000000"/>
        <n v="185000000"/>
        <n v="175000000"/>
        <n v="43000000"/>
        <n v="51000000"/>
        <n v="155000000"/>
        <n v="230000000"/>
        <n v="73000000"/>
        <n v="12600000"/>
        <n v="44000000"/>
        <n v="34000000"/>
        <n v="47500000"/>
        <n v="6000000"/>
        <n v="3300000"/>
        <n v="180000000"/>
        <n v="108000000"/>
        <n v="32000000"/>
        <n v="60720000"/>
        <n v="42800000"/>
        <n v="99000000"/>
        <n v="4500000"/>
        <n v="1100000"/>
        <n v="74000000"/>
        <n v="3800000"/>
        <n v="22500000"/>
        <n v="18500000"/>
        <n v="19800000"/>
        <n v="9600000"/>
        <n v="200000000"/>
      </sharedItems>
    </cacheField>
    <cacheField name="Revenue" numFmtId="0">
      <sharedItems containsSemiMixedTypes="0" containsString="0" containsNumber="1" containsInteger="1" minValue="1000000" maxValue="970800000"/>
    </cacheField>
    <cacheField name="Profit" numFmtId="0">
      <sharedItems containsSemiMixedTypes="0" containsString="0" containsNumber="1" containsInteger="1" minValue="-58600000" maxValue="894800000"/>
    </cacheField>
    <cacheField name="ROI%" numFmtId="0">
      <sharedItems containsSemiMixedTypes="0" containsString="0" containsNumber="1" minValue="-94.5" maxValue="10080" count="486">
        <n v="622"/>
        <n v="54.22"/>
        <n v="116.23"/>
        <n v="266.36"/>
        <n v="292.07"/>
        <n v="206.91"/>
        <n v="143.75"/>
        <n v="-64.2"/>
        <n v="-4"/>
        <n v="231.2"/>
        <n v="2304"/>
        <n v="500"/>
        <n v="-68.72"/>
        <n v="-40"/>
        <n v="141.33000000000001"/>
        <n v="-45"/>
        <n v="110"/>
        <n v="350"/>
        <n v="16.98"/>
        <n v="87.54"/>
        <n v="-75"/>
        <n v="-1.1399999999999999"/>
        <n v="-49.42"/>
        <n v="160.88999999999999"/>
        <n v="370"/>
        <n v="830.95"/>
        <n v="-3.21"/>
        <n v="547.05999999999995"/>
        <n v="3852.31"/>
        <n v="105.85"/>
        <n v="299.54000000000002"/>
        <n v="422.02"/>
        <n v="0"/>
        <n v="521"/>
        <n v="175"/>
        <n v="249.08"/>
        <n v="25.71"/>
        <n v="-17.5"/>
        <n v="37.729999999999997"/>
        <n v="1116.67"/>
        <n v="0.17"/>
        <n v="-31.36"/>
        <n v="-58.6"/>
        <n v="108.57"/>
        <n v="193"/>
        <n v="88.3"/>
        <n v="-71.86"/>
        <n v="220"/>
        <n v="441.67"/>
        <n v="1012.5"/>
        <n v="200"/>
        <n v="313.75"/>
        <n v="464.55"/>
        <n v="-60.18"/>
        <n v="83"/>
        <n v="-67"/>
        <n v="320.24"/>
        <n v="40"/>
        <n v="241.53"/>
        <n v="324.39999999999998"/>
        <n v="-33"/>
        <n v="108.37"/>
        <n v="-58.5"/>
        <n v="318.18"/>
        <n v="3620"/>
        <n v="-74"/>
        <n v="955"/>
        <n v="1.56"/>
        <n v="251.67"/>
        <n v="-11.75"/>
        <n v="334"/>
        <n v="13.02"/>
        <n v="35.82"/>
        <n v="248.41"/>
        <n v="-18"/>
        <n v="63.67"/>
        <n v="654.29"/>
        <n v="202.38"/>
        <n v="-39.67"/>
        <n v="1249.31"/>
        <n v="333.33"/>
        <n v="1177.3699999999999"/>
        <n v="427.14"/>
        <n v="250.45"/>
        <n v="239.88"/>
        <n v="325.39999999999998"/>
        <n v="60.56"/>
        <n v="185.86"/>
        <n v="398.29"/>
        <n v="210.14"/>
        <n v="18"/>
        <n v="84.62"/>
        <n v="239.6"/>
        <n v="248.46"/>
        <n v="100.87"/>
        <n v="108.15"/>
        <n v="148.78"/>
        <n v="100"/>
        <n v="587.14"/>
        <n v="216.25"/>
        <n v="26.41"/>
        <n v="188.6"/>
        <n v="86.5"/>
        <n v="473.53"/>
        <n v="146"/>
        <n v="152.31"/>
        <n v="392.94"/>
        <n v="421.94"/>
        <n v="66.84"/>
        <n v="276.67"/>
        <n v="-57.6"/>
        <n v="22"/>
        <n v="-18.57"/>
        <n v="211.47"/>
        <n v="189"/>
        <n v="40.270000000000003"/>
        <n v="179.5"/>
        <n v="11.33"/>
        <n v="-34.44"/>
        <n v="132.63"/>
        <n v="51.04"/>
        <n v="3030"/>
        <n v="4.07"/>
        <n v="230.62"/>
        <n v="505.41"/>
        <n v="154.29"/>
        <n v="78.81"/>
        <n v="208.75"/>
        <n v="-91.5"/>
        <n v="352.6"/>
        <n v="744.17"/>
        <n v="74.05"/>
        <n v="625"/>
        <n v="135.13999999999999"/>
        <n v="185.93"/>
        <n v="281"/>
        <n v="88.95"/>
        <n v="47.71"/>
        <n v="321.64999999999998"/>
        <n v="491.25"/>
        <n v="328.62"/>
        <n v="-80"/>
        <n v="250.76"/>
        <n v="823.16"/>
        <n v="397.14"/>
        <n v="617.27"/>
        <n v="-6.1"/>
        <n v="131.69999999999999"/>
        <n v="3138"/>
        <n v="927.27"/>
        <n v="309.14999999999998"/>
        <n v="223.4"/>
        <n v="8"/>
        <n v="149.09"/>
        <n v="263.83"/>
        <n v="125.83"/>
        <n v="-88"/>
        <n v="189.92"/>
        <n v="-54"/>
        <n v="15.53"/>
        <n v="199.17"/>
        <n v="330"/>
        <n v="324.43"/>
        <n v="68.5"/>
        <n v="38"/>
        <n v="-50"/>
        <n v="152.66999999999999"/>
        <n v="340.85"/>
        <n v="310"/>
        <n v="258.55"/>
        <n v="-33.33"/>
        <n v="72.5"/>
        <n v="624.26"/>
        <n v="712.94"/>
        <n v="407.5"/>
        <n v="2469.39"/>
        <n v="323.54000000000002"/>
        <n v="-12.5"/>
        <n v="61"/>
        <n v="226.17"/>
        <n v="488.33"/>
        <n v="71.25"/>
        <n v="1058.5"/>
        <n v="152.27000000000001"/>
        <n v="415.1"/>
        <n v="203.57"/>
        <n v="876"/>
        <n v="196.89"/>
        <n v="10"/>
        <n v="120"/>
        <n v="411.97"/>
        <n v="13.75"/>
        <n v="881"/>
        <n v="-81.25"/>
        <n v="190.23"/>
        <n v="-65.56"/>
        <n v="466.15"/>
        <n v="115.29"/>
        <n v="354.87"/>
        <n v="244.81"/>
        <n v="587.86"/>
        <n v="326.88"/>
        <n v="-21.67"/>
        <n v="75.2"/>
        <n v="90.14"/>
        <n v="226"/>
        <n v="276.92"/>
        <n v="-89"/>
        <n v="393.89"/>
        <n v="212.77"/>
        <n v="1403.89"/>
        <n v="208.29"/>
        <n v="138"/>
        <n v="185.98"/>
        <n v="491.76"/>
        <n v="-36.33"/>
        <n v="988"/>
        <n v="311.36"/>
        <n v="-65.52"/>
        <n v="190.08"/>
        <n v="345.6"/>
        <n v="368.93"/>
        <n v="256.56"/>
        <n v="138.5"/>
        <n v="130"/>
        <n v="585"/>
        <n v="-7.75"/>
        <n v="1972"/>
        <n v="-69.290000000000006"/>
        <n v="116.32"/>
        <n v="231.54"/>
        <n v="-14.4"/>
        <n v="612.5"/>
        <n v="2756"/>
        <n v="681"/>
        <n v="78.5"/>
        <n v="379.2"/>
        <n v="38.57"/>
        <n v="169"/>
        <n v="-71.58"/>
        <n v="182.58"/>
        <n v="-22.5"/>
        <n v="124.67"/>
        <n v="578.82000000000005"/>
        <n v="890"/>
        <n v="89.84"/>
        <n v="27.33"/>
        <n v="620.83000000000004"/>
        <n v="172.57"/>
        <n v="47.25"/>
        <n v="-52.5"/>
        <n v="-11.14"/>
        <n v="-41.43"/>
        <n v="165.43"/>
        <n v="176.67"/>
        <n v="755.83"/>
        <n v="210.31"/>
        <n v="-46"/>
        <n v="-39.770000000000003"/>
        <n v="2066.11"/>
        <n v="-0.56999999999999995"/>
        <n v="-36"/>
        <n v="76.31"/>
        <n v="-26"/>
        <n v="-13.1"/>
        <n v="269.54000000000002"/>
        <n v="129.44"/>
        <n v="150.75"/>
        <n v="518"/>
        <n v="210.5"/>
        <n v="385.53"/>
        <n v="111.66"/>
        <n v="130.5"/>
        <n v="142.69999999999999"/>
        <n v="96"/>
        <n v="-20.8"/>
        <n v="-77.33"/>
        <n v="176.92"/>
        <n v="16.399999999999999"/>
        <n v="137.37"/>
        <n v="144.82"/>
        <n v="140.28"/>
        <n v="84.44"/>
        <n v="292"/>
        <n v="65.13"/>
        <n v="17.309999999999999"/>
        <n v="234"/>
        <n v="20.21"/>
        <n v="324"/>
        <n v="183"/>
        <n v="122.33"/>
        <n v="161.5"/>
        <n v="1025.71"/>
        <n v="-39.380000000000003"/>
        <n v="2490"/>
        <n v="429"/>
        <n v="250"/>
        <n v="285.33"/>
        <n v="133.29"/>
        <n v="208.18"/>
        <n v="313.33"/>
        <n v="206.67"/>
        <n v="341.5"/>
        <n v="262.62"/>
        <n v="321.54000000000002"/>
        <n v="461.14"/>
        <n v="31.35"/>
        <n v="91.56"/>
        <n v="14.67"/>
        <n v="303.2"/>
        <n v="128.57"/>
        <n v="774.65"/>
        <n v="402.5"/>
        <n v="977.25"/>
        <n v="218.68"/>
        <n v="294.64"/>
        <n v="79.63"/>
        <n v="184.26"/>
        <n v="136"/>
        <n v="406.25"/>
        <n v="-4.2300000000000004"/>
        <n v="216.29"/>
        <n v="162.80000000000001"/>
        <n v="229.52"/>
        <n v="375.21"/>
        <n v="1268"/>
        <n v="376.07"/>
        <n v="138.75"/>
        <n v="99.6"/>
        <n v="171.03"/>
        <n v="120.88"/>
        <n v="82.17"/>
        <n v="542"/>
        <n v="488.67"/>
        <n v="121.67"/>
        <n v="427.69"/>
        <n v="10.42"/>
        <n v="-15.5"/>
        <n v="-11"/>
        <n v="1490"/>
        <n v="698.75"/>
        <n v="334.96"/>
        <n v="328"/>
        <n v="172.5"/>
        <n v="10080"/>
        <n v="176"/>
        <n v="62.91"/>
        <n v="170.27"/>
        <n v="48.41"/>
        <n v="411.76"/>
        <n v="-63.08"/>
        <n v="249.64"/>
        <n v="205.4"/>
        <n v="129.11000000000001"/>
        <n v="161.33000000000001"/>
        <n v="2263.08"/>
        <n v="79.67"/>
        <n v="276"/>
        <n v="1080"/>
        <n v="168"/>
        <n v="660"/>
        <n v="234.29"/>
        <n v="209.2"/>
        <n v="-39.5"/>
        <n v="251.46"/>
        <n v="254.09"/>
        <n v="434.65"/>
        <n v="282.39999999999998"/>
        <n v="58.25"/>
        <n v="304.08999999999997"/>
        <n v="790.26"/>
        <n v="504.32"/>
        <n v="308.38"/>
        <n v="43.13"/>
        <n v="-56"/>
        <n v="-82.5"/>
        <n v="1568.57"/>
        <n v="300.67"/>
        <n v="-19.41"/>
        <n v="-68"/>
        <n v="342.27"/>
        <n v="60.34"/>
        <n v="-74.319999999999993"/>
        <n v="68.8"/>
        <n v="590"/>
        <n v="202"/>
        <n v="7.33"/>
        <n v="56"/>
        <n v="1063.6400000000001"/>
        <n v="-12.43"/>
        <n v="95.94"/>
        <n v="682"/>
        <n v="60"/>
        <n v="297.60000000000002"/>
        <n v="46.4"/>
        <n v="1.5"/>
        <n v="483.52"/>
        <n v="-11.56"/>
        <n v="924.41"/>
        <n v="812.06"/>
        <n v="121.43"/>
        <n v="51"/>
        <n v="109.6"/>
        <n v="132"/>
        <n v="182.48"/>
        <n v="-94.5"/>
        <n v="391.75"/>
        <n v="148.69"/>
        <n v="235"/>
        <n v="108"/>
        <n v="156.91999999999999"/>
        <n v="123.64"/>
        <n v="213.33"/>
        <n v="460.71"/>
        <n v="2876.67"/>
        <n v="956"/>
        <n v="46.67"/>
        <n v="730.91"/>
        <n v="14.23"/>
        <n v="294.81"/>
        <n v="760"/>
        <n v="55"/>
        <n v="866.53"/>
        <n v="533.04"/>
        <n v="448.24"/>
        <n v="103.75"/>
        <n v="230.95"/>
        <n v="337.03"/>
        <n v="-13.16"/>
        <n v="724.67"/>
        <n v="82.67"/>
        <n v="190.4"/>
        <n v="591.41999999999996"/>
        <n v="3.85"/>
        <n v="1870"/>
        <n v="36"/>
        <n v="0.44"/>
        <n v="36.89"/>
        <n v="246.96"/>
        <n v="1246.67"/>
        <n v="245.67"/>
        <n v="756.67"/>
        <n v="-61.08"/>
        <n v="700.83"/>
        <n v="293.75"/>
        <n v="108.59"/>
        <n v="140.77000000000001"/>
        <n v="117.5"/>
        <n v="2278.67"/>
        <n v="58.8"/>
        <n v="21.5"/>
        <n v="3"/>
        <n v="17"/>
        <n v="-18.329999999999998"/>
        <n v="-45.33"/>
        <n v="-43.75"/>
        <n v="122.52"/>
        <n v="-36.67"/>
        <n v="151.38"/>
        <n v="-58.86"/>
        <n v="6310"/>
        <n v="238.39"/>
        <n v="-48.67"/>
        <n v="-41.67"/>
        <n v="-14.5"/>
        <n v="-30.86"/>
        <n v="6.75"/>
        <n v="2356.67"/>
        <n v="170.94"/>
        <n v="111"/>
        <n v="100.67"/>
        <n v="1384.85"/>
        <n v="-28.86"/>
        <n v="36.67"/>
        <n v="-48.17"/>
        <n v="-8.33"/>
        <n v="460"/>
        <n v="10.77"/>
        <n v="184.21"/>
        <n v="103.53"/>
        <n v="205.96"/>
        <n v="273.95"/>
        <n v="2580"/>
        <n v="232"/>
        <n v="114.9"/>
        <n v="12"/>
      </sharedItems>
    </cacheField>
    <cacheField name="Movie_Status" numFmtId="0">
      <sharedItems count="4">
        <s v="Blockbuster"/>
        <s v="Semi-Hit"/>
        <s v="Hit"/>
        <s v="Flop"/>
      </sharedItems>
    </cacheField>
  </cacheFields>
  <extLst>
    <ext xmlns:x14="http://schemas.microsoft.com/office/spreadsheetml/2009/9/main" uri="{725AE2AE-9491-48be-B2B4-4EB974FC3084}">
      <x14:pivotCacheDefinition pivotCacheId="11202918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8">
  <r>
    <x v="0"/>
    <d v="2016-03-08T00:00:00"/>
    <x v="0"/>
    <x v="0"/>
    <x v="0"/>
    <x v="0"/>
    <s v="Mary Elizabeth Winstead"/>
    <s v="John Goodman"/>
    <s v="John Gallagher"/>
    <s v=""/>
    <s v=""/>
    <x v="0"/>
    <n v="108300000"/>
    <n v="93300000"/>
    <x v="0"/>
    <x v="0"/>
  </r>
  <r>
    <x v="1"/>
    <d v="2016-01-15T00:00:00"/>
    <x v="0"/>
    <x v="1"/>
    <x v="1"/>
    <x v="0"/>
    <s v="James Badge Dale"/>
    <s v="John Krasinski"/>
    <s v="Toby Stephens"/>
    <s v="Pablo Schreiber"/>
    <s v="Max Martini"/>
    <x v="1"/>
    <n v="69400000"/>
    <n v="24400000"/>
    <x v="1"/>
    <x v="1"/>
  </r>
  <r>
    <x v="2"/>
    <d v="2013-08-02T00:00:00"/>
    <x v="1"/>
    <x v="1"/>
    <x v="2"/>
    <x v="0"/>
    <s v="Mark Wahlberg"/>
    <s v="Denzel Washington"/>
    <s v="Paula Patton"/>
    <s v="Bill Paxton"/>
    <s v="Edward James Olmos"/>
    <x v="2"/>
    <n v="131900000"/>
    <n v="70900000"/>
    <x v="2"/>
    <x v="2"/>
  </r>
  <r>
    <x v="3"/>
    <d v="2012-03-16T00:00:00"/>
    <x v="2"/>
    <x v="2"/>
    <x v="3"/>
    <x v="1"/>
    <s v="Jonah Hill"/>
    <s v="Channing Tatum"/>
    <s v="Ice Cube"/>
    <s v="Brie Larson"/>
    <s v="Rob Riggle"/>
    <x v="3"/>
    <n v="201500000"/>
    <n v="146500000"/>
    <x v="3"/>
    <x v="2"/>
  </r>
  <r>
    <x v="4"/>
    <d v="2014-06-04T00:00:00"/>
    <x v="3"/>
    <x v="1"/>
    <x v="3"/>
    <x v="1"/>
    <s v="Channing Tatum"/>
    <s v="Jonah Hill"/>
    <s v="Ice Cube"/>
    <s v=""/>
    <s v=""/>
    <x v="4"/>
    <n v="331300000"/>
    <n v="246800000"/>
    <x v="4"/>
    <x v="2"/>
  </r>
  <r>
    <x v="5"/>
    <d v="2014-03-04T00:00:00"/>
    <x v="3"/>
    <x v="1"/>
    <x v="4"/>
    <x v="0"/>
    <s v="Rodrigo Santoro"/>
    <s v="Eva Green"/>
    <s v="Sullivan Stapleton"/>
    <s v="Hans Matheson"/>
    <s v="Lena Headey"/>
    <x v="5"/>
    <n v="337600000"/>
    <n v="227600000"/>
    <x v="5"/>
    <x v="2"/>
  </r>
  <r>
    <x v="6"/>
    <d v="2013-04-12T00:00:00"/>
    <x v="1"/>
    <x v="3"/>
    <x v="5"/>
    <x v="0"/>
    <s v="Harrison Ford"/>
    <s v="Chadwick Boseman"/>
    <s v="Christopher Meloni"/>
    <s v="Ryan Merriman"/>
    <s v="Andre Holland"/>
    <x v="6"/>
    <n v="97500000"/>
    <n v="57500000"/>
    <x v="6"/>
    <x v="2"/>
  </r>
  <r>
    <x v="7"/>
    <d v="2014-02-07T00:00:00"/>
    <x v="3"/>
    <x v="1"/>
    <x v="6"/>
    <x v="0"/>
    <s v="Jack O'Connell"/>
    <s v="Richard Dormer"/>
    <s v="Sean Harris"/>
    <s v="Sam Reid"/>
    <s v=""/>
    <x v="7"/>
    <n v="2900000"/>
    <n v="-5200000"/>
    <x v="7"/>
    <x v="3"/>
  </r>
  <r>
    <x v="8"/>
    <d v="2015-09-11T00:00:00"/>
    <x v="4"/>
    <x v="4"/>
    <x v="7"/>
    <x v="0"/>
    <s v="Hayden Christensen"/>
    <s v="Kate Bosworth"/>
    <s v="Dwight Yoakam"/>
    <s v="Michael W. Smith"/>
    <s v=""/>
    <x v="8"/>
    <n v="4800000"/>
    <n v="-200000"/>
    <x v="8"/>
    <x v="3"/>
  </r>
  <r>
    <x v="9"/>
    <d v="2013-02-14T00:00:00"/>
    <x v="1"/>
    <x v="1"/>
    <x v="8"/>
    <x v="0"/>
    <s v="Bruce Willis"/>
    <s v="Jai Courtney"/>
    <s v="Sebastian Koch"/>
    <s v="Yuliya Snigir"/>
    <s v="Radivoje Bukvić"/>
    <x v="9"/>
    <n v="304700000"/>
    <n v="212700000"/>
    <x v="9"/>
    <x v="2"/>
  </r>
  <r>
    <x v="10"/>
    <d v="2013-01-11T00:00:00"/>
    <x v="1"/>
    <x v="2"/>
    <x v="9"/>
    <x v="0"/>
    <s v="Marlon Wayans"/>
    <s v="Nick Swardson"/>
    <s v="David Koechner"/>
    <s v="Essence Atkins"/>
    <s v="Cedric the Entertainer"/>
    <x v="10"/>
    <n v="60100000"/>
    <n v="57600000"/>
    <x v="10"/>
    <x v="0"/>
  </r>
  <r>
    <x v="11"/>
    <d v="2014-04-18T00:00:00"/>
    <x v="3"/>
    <x v="2"/>
    <x v="9"/>
    <x v="0"/>
    <s v="Marlon Wayans"/>
    <s v="Jaime Pressly"/>
    <s v="Essence Atkins"/>
    <s v="Cedric the Entertainer"/>
    <s v="Gabriel Iglesias"/>
    <x v="11"/>
    <n v="24000000"/>
    <n v="20000000"/>
    <x v="11"/>
    <x v="0"/>
  </r>
  <r>
    <x v="12"/>
    <d v="2014-02-10T00:00:00"/>
    <x v="3"/>
    <x v="2"/>
    <x v="10"/>
    <x v="0"/>
    <s v="Toni Collette"/>
    <s v="Pierce Brosnan"/>
    <s v="Aaron Paul"/>
    <s v="Imogen Poots"/>
    <s v=""/>
    <x v="12"/>
    <n v="7100000"/>
    <n v="-15600000"/>
    <x v="12"/>
    <x v="3"/>
  </r>
  <r>
    <x v="13"/>
    <d v="2014-11-06T00:00:00"/>
    <x v="3"/>
    <x v="1"/>
    <x v="11"/>
    <x v="0"/>
    <s v="Oscar Isaac"/>
    <s v="Jessica Chastain"/>
    <s v="Alessandro Nivola"/>
    <s v="David Oyelowo"/>
    <s v="Albert Brooks"/>
    <x v="13"/>
    <n v="12000000"/>
    <n v="-8000000"/>
    <x v="13"/>
    <x v="3"/>
  </r>
  <r>
    <x v="14"/>
    <d v="2014-01-19T00:00:00"/>
    <x v="3"/>
    <x v="0"/>
    <x v="12"/>
    <x v="0"/>
    <s v="Philip Seymour Hoffman"/>
    <s v="Rachel McAdams"/>
    <s v="Robin Wright"/>
    <s v="Willem Dafoe"/>
    <s v="Grigoriy Dobrygin"/>
    <x v="0"/>
    <n v="36200000"/>
    <n v="21200000"/>
    <x v="14"/>
    <x v="2"/>
  </r>
  <r>
    <x v="15"/>
    <d v="2012-03-09T00:00:00"/>
    <x v="2"/>
    <x v="2"/>
    <x v="13"/>
    <x v="0"/>
    <s v="Eddie Murphy"/>
    <s v="Kerry Washington"/>
    <s v="Cliff Curtis"/>
    <s v="Clark Duke"/>
    <s v="Allison Janney"/>
    <x v="6"/>
    <n v="22000000"/>
    <n v="-18000000"/>
    <x v="15"/>
    <x v="3"/>
  </r>
  <r>
    <x v="16"/>
    <d v="2014-09-19T00:00:00"/>
    <x v="3"/>
    <x v="5"/>
    <x v="14"/>
    <x v="0"/>
    <s v="Liam Neeson"/>
    <s v="Dan Stevens"/>
    <s v="Ruth Wilson"/>
    <s v="Boyd Holbrook"/>
    <s v=""/>
    <x v="14"/>
    <n v="58800000"/>
    <n v="30800000"/>
    <x v="16"/>
    <x v="2"/>
  </r>
  <r>
    <x v="17"/>
    <d v="2015-01-23T00:00:00"/>
    <x v="4"/>
    <x v="6"/>
    <x v="15"/>
    <x v="0"/>
    <s v="Robert Redford"/>
    <s v="Nick Nolte"/>
    <s v="Emma Thompson"/>
    <s v=""/>
    <s v=""/>
    <x v="15"/>
    <n v="36000000"/>
    <n v="28000000"/>
    <x v="17"/>
    <x v="0"/>
  </r>
  <r>
    <x v="18"/>
    <d v="2012-06-22T00:00:00"/>
    <x v="2"/>
    <x v="7"/>
    <x v="16"/>
    <x v="0"/>
    <s v="Benjamin Walker"/>
    <s v="Dominic Cooper"/>
    <s v="Anthony Mackie"/>
    <s v="Mary Elizabeth Winstead"/>
    <s v="Rufus Sewell"/>
    <x v="16"/>
    <n v="116400000"/>
    <n v="16900000"/>
    <x v="18"/>
    <x v="1"/>
  </r>
  <r>
    <x v="19"/>
    <d v="2013-05-31T00:00:00"/>
    <x v="1"/>
    <x v="8"/>
    <x v="17"/>
    <x v="0"/>
    <s v="Jaden Smith"/>
    <s v="Will Smith"/>
    <s v="Isabelle Fuhrman"/>
    <s v="Zoe Kravitz"/>
    <s v=""/>
    <x v="17"/>
    <n v="243800000"/>
    <n v="113800000"/>
    <x v="19"/>
    <x v="1"/>
  </r>
  <r>
    <x v="20"/>
    <d v="2013-08-16T00:00:00"/>
    <x v="1"/>
    <x v="4"/>
    <x v="18"/>
    <x v="0"/>
    <s v="Casey Affleck"/>
    <s v="Rooney Mara"/>
    <s v="Ben Foster"/>
    <s v="Rami Malek"/>
    <s v="Keith Carradine"/>
    <x v="11"/>
    <n v="1000000"/>
    <n v="-3000000"/>
    <x v="20"/>
    <x v="3"/>
  </r>
  <r>
    <x v="21"/>
    <d v="2012-10-19T00:00:00"/>
    <x v="2"/>
    <x v="5"/>
    <x v="19"/>
    <x v="0"/>
    <s v="Tyler Perry"/>
    <s v="Matthew Fox"/>
    <s v="Rachel Nichols"/>
    <s v="Edward Burns"/>
    <s v="Jean Reno"/>
    <x v="18"/>
    <n v="34600000"/>
    <n v="-400000"/>
    <x v="21"/>
    <x v="3"/>
  </r>
  <r>
    <x v="22"/>
    <d v="2015-05-27T00:00:00"/>
    <x v="4"/>
    <x v="9"/>
    <x v="20"/>
    <x v="0"/>
    <s v="Bradley Cooper"/>
    <s v="Emma Stone"/>
    <s v="Alec Baldwin"/>
    <s v="Rachel McAdams"/>
    <s v="Bill Murray"/>
    <x v="19"/>
    <n v="26300000"/>
    <n v="-25700000"/>
    <x v="22"/>
    <x v="3"/>
  </r>
  <r>
    <x v="23"/>
    <d v="2015-12-18T00:00:00"/>
    <x v="4"/>
    <x v="2"/>
    <x v="21"/>
    <x v="0"/>
    <s v="Jason Lee"/>
    <s v="Tony Hale"/>
    <s v="Kimberly Williams-Paisley"/>
    <s v="Josh Green"/>
    <s v="Bella Thorne"/>
    <x v="20"/>
    <n v="234800000"/>
    <n v="144800000"/>
    <x v="23"/>
    <x v="2"/>
  </r>
  <r>
    <x v="24"/>
    <d v="2012-04-06T00:00:00"/>
    <x v="2"/>
    <x v="2"/>
    <x v="22"/>
    <x v="0"/>
    <s v="Alyson Hannigan"/>
    <s v="Seann William Scott"/>
    <s v="Tara Reid"/>
    <s v="Jason Biggs"/>
    <s v="Eugene Levy"/>
    <x v="21"/>
    <n v="235000000"/>
    <n v="185000000"/>
    <x v="24"/>
    <x v="0"/>
  </r>
  <r>
    <x v="25"/>
    <d v="2014-11-11T00:00:00"/>
    <x v="3"/>
    <x v="4"/>
    <x v="23"/>
    <x v="0"/>
    <s v="Bradley Cooper"/>
    <s v="Sienna Miller"/>
    <s v="Max Charles"/>
    <s v="Luke Grimes"/>
    <s v=""/>
    <x v="22"/>
    <n v="547400000"/>
    <n v="488600000"/>
    <x v="25"/>
    <x v="0"/>
  </r>
  <r>
    <x v="26"/>
    <d v="2015-08-21T00:00:00"/>
    <x v="4"/>
    <x v="1"/>
    <x v="24"/>
    <x v="0"/>
    <s v="Jesse Eisenberg"/>
    <s v="Kristen Stewart"/>
    <s v="Connie Britton"/>
    <s v="Topher Grace"/>
    <s v="John Leguizamo"/>
    <x v="14"/>
    <n v="27100000"/>
    <n v="-900000"/>
    <x v="26"/>
    <x v="3"/>
  </r>
  <r>
    <x v="27"/>
    <d v="2015-06-16T00:00:00"/>
    <x v="4"/>
    <x v="3"/>
    <x v="25"/>
    <x v="0"/>
    <s v="Amy Winehouse"/>
    <s v="Mitchell Winehouse"/>
    <s v="Janis Winehouse"/>
    <s v="Raye Cosbert"/>
    <s v="Nick Shymansky"/>
    <x v="23"/>
    <n v="22000000"/>
    <n v="18600000"/>
    <x v="27"/>
    <x v="0"/>
  </r>
  <r>
    <x v="28"/>
    <d v="2014-09-26T00:00:00"/>
    <x v="3"/>
    <x v="7"/>
    <x v="26"/>
    <x v="0"/>
    <s v="Annabelle Wallis"/>
    <s v="Alfre Woodard"/>
    <s v="Eric Ladin"/>
    <s v="Brian Howe"/>
    <s v=""/>
    <x v="24"/>
    <n v="256900000"/>
    <n v="250400000"/>
    <x v="28"/>
    <x v="0"/>
  </r>
  <r>
    <x v="29"/>
    <d v="2014-12-07T00:00:00"/>
    <x v="3"/>
    <x v="2"/>
    <x v="27"/>
    <x v="0"/>
    <s v="Quvenzhané Wallis"/>
    <s v="Jamie Foxx"/>
    <s v="Cameron Diaz"/>
    <s v="Rose Byrne"/>
    <s v="Bobby Cannavale"/>
    <x v="25"/>
    <n v="133800000"/>
    <n v="68800000"/>
    <x v="29"/>
    <x v="2"/>
  </r>
  <r>
    <x v="30"/>
    <d v="2015-06-29T00:00:00"/>
    <x v="4"/>
    <x v="1"/>
    <x v="28"/>
    <x v="0"/>
    <s v="Paul Rudd"/>
    <s v="Evangeline Lilly"/>
    <s v="Corey Stoll"/>
    <s v="Bobby Cannavale"/>
    <s v="Michael Peña"/>
    <x v="17"/>
    <n v="519400000"/>
    <n v="389400000"/>
    <x v="30"/>
    <x v="2"/>
  </r>
  <r>
    <x v="31"/>
    <d v="2012-10-12T00:00:00"/>
    <x v="2"/>
    <x v="4"/>
    <x v="29"/>
    <x v="0"/>
    <s v="Ben Affleck"/>
    <s v="John Goodman"/>
    <s v="Alan Arkin"/>
    <s v="Bryan Cranston"/>
    <s v="Victor Garber"/>
    <x v="26"/>
    <n v="232300000"/>
    <n v="187800000"/>
    <x v="31"/>
    <x v="0"/>
  </r>
  <r>
    <x v="32"/>
    <d v="2014-08-29T00:00:00"/>
    <x v="3"/>
    <x v="7"/>
    <x v="30"/>
    <x v="0"/>
    <s v="Drew Dowdle (screenplay)Perdita Weeks"/>
    <s v="Ben Feldman"/>
    <s v="Edwin Hodge"/>
    <s v="François Civil"/>
    <s v="Marion Lambert"/>
    <x v="8"/>
    <n v="5000000"/>
    <n v="0"/>
    <x v="32"/>
    <x v="1"/>
  </r>
  <r>
    <x v="33"/>
    <d v="2016-07-29T00:00:00"/>
    <x v="0"/>
    <x v="2"/>
    <x v="31"/>
    <x v="2"/>
    <s v="Mila Kunis"/>
    <s v="Christina Applegate"/>
    <s v="Kristen Bell"/>
    <s v="Jada Pinkett Smith"/>
    <s v="Kathryn Hahn"/>
    <x v="13"/>
    <n v="124200000"/>
    <n v="104200000"/>
    <x v="33"/>
    <x v="0"/>
  </r>
  <r>
    <x v="34"/>
    <d v="2016-04-15T00:00:00"/>
    <x v="0"/>
    <x v="2"/>
    <x v="32"/>
    <x v="0"/>
    <s v="Ice Cube"/>
    <s v="Cedric the Entertainer"/>
    <s v="Nicki Minaj"/>
    <s v="Regina Hall"/>
    <s v="Eve"/>
    <x v="13"/>
    <n v="55000000"/>
    <n v="35000000"/>
    <x v="34"/>
    <x v="2"/>
  </r>
  <r>
    <x v="35"/>
    <d v="2016-03-19T00:00:00"/>
    <x v="0"/>
    <x v="1"/>
    <x v="33"/>
    <x v="0"/>
    <s v="Ben Affleck"/>
    <s v="Henry Cavill"/>
    <s v="Amy Adams"/>
    <s v="Jesse Eisenberg"/>
    <s v="Diane Lane"/>
    <x v="27"/>
    <n v="872700000"/>
    <n v="622700000"/>
    <x v="35"/>
    <x v="2"/>
  </r>
  <r>
    <x v="36"/>
    <d v="2016-07-25T00:00:00"/>
    <x v="0"/>
    <x v="1"/>
    <x v="34"/>
    <x v="3"/>
    <s v="Kevin Conroy"/>
    <s v="Mark Hamill"/>
    <s v="Tara Strong"/>
    <s v="Ray Wise"/>
    <s v=""/>
    <x v="28"/>
    <n v="4400000"/>
    <n v="900000"/>
    <x v="36"/>
    <x v="1"/>
  </r>
  <r>
    <x v="37"/>
    <d v="2013-09-20T00:00:00"/>
    <x v="1"/>
    <x v="10"/>
    <x v="35"/>
    <x v="0"/>
    <s v="Josh Holloway"/>
    <s v="Laz Alonso"/>
    <s v="Josh Peck"/>
    <s v="Caity Lotz"/>
    <s v="Chris Brown"/>
    <x v="13"/>
    <n v="16500000"/>
    <n v="-3500000"/>
    <x v="37"/>
    <x v="3"/>
  </r>
  <r>
    <x v="38"/>
    <d v="2012-05-18T00:00:00"/>
    <x v="2"/>
    <x v="1"/>
    <x v="36"/>
    <x v="0"/>
    <s v="Alexander Skarsgård"/>
    <s v="Taylor Kitsch"/>
    <s v="Brooklyn Decker"/>
    <s v="Rihanna"/>
    <s v="Liam Neeson"/>
    <x v="29"/>
    <n v="303000000"/>
    <n v="83000000"/>
    <x v="38"/>
    <x v="1"/>
  </r>
  <r>
    <x v="39"/>
    <d v="2012-06-27T00:00:00"/>
    <x v="2"/>
    <x v="4"/>
    <x v="37"/>
    <x v="0"/>
    <s v="Quvenzhané Wallis"/>
    <s v="Dwight Henry"/>
    <s v=""/>
    <s v=""/>
    <s v=""/>
    <x v="30"/>
    <n v="21900000"/>
    <n v="20100000"/>
    <x v="39"/>
    <x v="0"/>
  </r>
  <r>
    <x v="40"/>
    <d v="2013-02-14T00:00:00"/>
    <x v="1"/>
    <x v="11"/>
    <x v="38"/>
    <x v="0"/>
    <s v="Viola Davis"/>
    <s v="Alice Englert"/>
    <s v="Emma Thompson"/>
    <s v="Emmy Rossum"/>
    <s v="Jeremy Irons"/>
    <x v="31"/>
    <n v="60100000"/>
    <n v="100000"/>
    <x v="40"/>
    <x v="1"/>
  </r>
  <r>
    <x v="41"/>
    <d v="2014-09-04T00:00:00"/>
    <x v="3"/>
    <x v="12"/>
    <x v="39"/>
    <x v="0"/>
    <s v="Nicole Kidman"/>
    <s v="Mark Strong"/>
    <s v="Colin Firth"/>
    <s v="Anne-Marie Duff"/>
    <s v=""/>
    <x v="32"/>
    <n v="15100000"/>
    <n v="-6900000"/>
    <x v="41"/>
    <x v="3"/>
  </r>
  <r>
    <x v="42"/>
    <d v="2016-08-19T00:00:00"/>
    <x v="0"/>
    <x v="6"/>
    <x v="16"/>
    <x v="0"/>
    <s v="Jack Huston"/>
    <s v="Morgan Freeman"/>
    <s v="Toby Kebbell"/>
    <s v="Rodrigo Santoro"/>
    <s v="Nazanin Boniadi"/>
    <x v="33"/>
    <n v="41400000"/>
    <n v="-58600000"/>
    <x v="42"/>
    <x v="3"/>
  </r>
  <r>
    <x v="43"/>
    <d v="2014-09-06T00:00:00"/>
    <x v="3"/>
    <x v="9"/>
    <x v="40"/>
    <x v="0"/>
    <s v="Gugu Mbatha-Raw"/>
    <s v="Nate Parker"/>
    <s v="Minnie Driver"/>
    <s v="Danny Glover"/>
    <s v=""/>
    <x v="34"/>
    <n v="14600000"/>
    <n v="7600000"/>
    <x v="43"/>
    <x v="2"/>
  </r>
  <r>
    <x v="44"/>
    <d v="2014-12-25T00:00:00"/>
    <x v="3"/>
    <x v="3"/>
    <x v="41"/>
    <x v="0"/>
    <s v="Amy Adams"/>
    <s v="Christoph Waltz"/>
    <s v="Krysten Ritter"/>
    <s v="Danny Huston"/>
    <s v="Terence Stamp"/>
    <x v="35"/>
    <n v="29300000"/>
    <n v="19300000"/>
    <x v="44"/>
    <x v="2"/>
  </r>
  <r>
    <x v="45"/>
    <d v="2015-09-04T00:00:00"/>
    <x v="4"/>
    <x v="1"/>
    <x v="42"/>
    <x v="0"/>
    <s v="Johnny Depp"/>
    <s v="Joel Edgerton"/>
    <s v="Benedict Cumberbatch"/>
    <s v="Sienna Miller"/>
    <s v="Dakota Johnson"/>
    <x v="36"/>
    <n v="99800000"/>
    <n v="46800000"/>
    <x v="45"/>
    <x v="1"/>
  </r>
  <r>
    <x v="46"/>
    <d v="2015-01-08T00:00:00"/>
    <x v="4"/>
    <x v="1"/>
    <x v="43"/>
    <x v="0"/>
    <s v="Chris Hemsworth"/>
    <s v="Viola Davis"/>
    <s v="John Ortiz"/>
    <s v="Yorick van Wageningen"/>
    <s v="Tang Wei"/>
    <x v="37"/>
    <n v="19700000"/>
    <n v="-50300000"/>
    <x v="46"/>
    <x v="3"/>
  </r>
  <r>
    <x v="47"/>
    <d v="2014-05-23T00:00:00"/>
    <x v="3"/>
    <x v="2"/>
    <x v="44"/>
    <x v="0"/>
    <s v="Adam Sandler"/>
    <s v="Drew Barrymore"/>
    <s v="Bella Thorne"/>
    <s v="Emma Fuhrmann"/>
    <s v="Terry Crews"/>
    <x v="6"/>
    <n v="128000000"/>
    <n v="88000000"/>
    <x v="47"/>
    <x v="2"/>
  </r>
  <r>
    <x v="48"/>
    <d v="2013-07-26T00:00:00"/>
    <x v="1"/>
    <x v="4"/>
    <x v="45"/>
    <x v="0"/>
    <s v="Alec Baldwin"/>
    <s v="Cate Blanchett"/>
    <s v="Bobby Cannavale"/>
    <s v="Louis C.K."/>
    <s v="Andrew Dice Clay"/>
    <x v="38"/>
    <n v="97500000"/>
    <n v="79500000"/>
    <x v="48"/>
    <x v="0"/>
  </r>
  <r>
    <x v="49"/>
    <d v="2014-01-19T00:00:00"/>
    <x v="3"/>
    <x v="4"/>
    <x v="46"/>
    <x v="0"/>
    <s v="Ethan Hawke"/>
    <s v="Patricia Arquette"/>
    <s v="Ellar Coltrane"/>
    <s v=""/>
    <s v=""/>
    <x v="11"/>
    <n v="44500000"/>
    <n v="40500000"/>
    <x v="49"/>
    <x v="0"/>
  </r>
  <r>
    <x v="50"/>
    <d v="2014-04-23T00:00:00"/>
    <x v="3"/>
    <x v="1"/>
    <x v="47"/>
    <x v="0"/>
    <s v="Paul Walker"/>
    <s v="David Belle"/>
    <s v="RZA"/>
    <s v=""/>
    <s v=""/>
    <x v="39"/>
    <n v="69000000"/>
    <n v="46000000"/>
    <x v="50"/>
    <x v="2"/>
  </r>
  <r>
    <x v="51"/>
    <d v="2015-10-04T00:00:00"/>
    <x v="4"/>
    <x v="4"/>
    <x v="48"/>
    <x v="0"/>
    <s v="Tom Hanks"/>
    <s v="Mark Rylance"/>
    <s v="Amy Ryan"/>
    <s v="Alan Alda"/>
    <s v="Austin Stowell"/>
    <x v="6"/>
    <n v="165500000"/>
    <n v="125500000"/>
    <x v="51"/>
    <x v="0"/>
  </r>
  <r>
    <x v="52"/>
    <d v="2015-01-26T00:00:00"/>
    <x v="4"/>
    <x v="4"/>
    <x v="49"/>
    <x v="0"/>
    <s v="Saoirse Ronan"/>
    <s v="Emory Cohen"/>
    <s v="Domhnall Gleeson"/>
    <s v="Jim Broadbent"/>
    <s v="Julie Walters"/>
    <x v="40"/>
    <n v="62100000"/>
    <n v="51100000"/>
    <x v="52"/>
    <x v="0"/>
  </r>
  <r>
    <x v="53"/>
    <d v="2013-02-01T00:00:00"/>
    <x v="1"/>
    <x v="5"/>
    <x v="50"/>
    <x v="0"/>
    <s v="Sylvester Stallone"/>
    <s v="Sung Kang"/>
    <s v="Sarah Shahi"/>
    <s v="Adewale Akinnuoye-Agbaje"/>
    <s v="Religious Slater"/>
    <x v="3"/>
    <n v="21900000"/>
    <n v="-33100000"/>
    <x v="53"/>
    <x v="3"/>
  </r>
  <r>
    <x v="54"/>
    <d v="2015-10-06T00:00:00"/>
    <x v="4"/>
    <x v="2"/>
    <x v="51"/>
    <x v="0"/>
    <s v="Bradley Cooper"/>
    <s v="Jamie Dornan"/>
    <s v="Emma Thompson"/>
    <s v="Sienna Miller"/>
    <s v="Daniel Brühl"/>
    <x v="13"/>
    <n v="36600000"/>
    <n v="16600000"/>
    <x v="54"/>
    <x v="1"/>
  </r>
  <r>
    <x v="55"/>
    <d v="2015-11-05T00:00:00"/>
    <x v="4"/>
    <x v="4"/>
    <x v="52"/>
    <x v="0"/>
    <s v="Angelina Jolie"/>
    <s v="Brad Pitt"/>
    <s v="Mélanie Laurent"/>
    <s v="Niels Arestrup"/>
    <s v="Melvil Poupaud"/>
    <x v="35"/>
    <n v="3300000"/>
    <n v="-6700000"/>
    <x v="55"/>
    <x v="3"/>
  </r>
  <r>
    <x v="56"/>
    <d v="2014-03-13T00:00:00"/>
    <x v="3"/>
    <x v="1"/>
    <x v="53"/>
    <x v="4"/>
    <s v="Chris Evans"/>
    <s v="Scarlett Johansson"/>
    <s v="Sebastian Stan"/>
    <s v="Anthony Mackie"/>
    <s v="Cobie Smulders"/>
    <x v="41"/>
    <n v="714400000"/>
    <n v="544400000"/>
    <x v="56"/>
    <x v="0"/>
  </r>
  <r>
    <x v="57"/>
    <d v="2015-09-18T00:00:00"/>
    <x v="4"/>
    <x v="5"/>
    <x v="54"/>
    <x v="0"/>
    <s v="David Oyelowo"/>
    <s v="Kate Mara"/>
    <s v="Michael K. Williams"/>
    <s v="Leonor Varela"/>
    <s v="Jessica Oyelowo"/>
    <x v="42"/>
    <n v="2800000"/>
    <n v="800000"/>
    <x v="57"/>
    <x v="1"/>
  </r>
  <r>
    <x v="58"/>
    <d v="2015-05-17T00:00:00"/>
    <x v="4"/>
    <x v="4"/>
    <x v="55"/>
    <x v="0"/>
    <s v="Cate Blanchett"/>
    <s v="Rooney Mara"/>
    <s v="Sarah Paulson"/>
    <s v="Kyle Chandler"/>
    <s v="Jake Lacy"/>
    <x v="43"/>
    <n v="40300000"/>
    <n v="28500000"/>
    <x v="58"/>
    <x v="2"/>
  </r>
  <r>
    <x v="59"/>
    <d v="2016-06-10T00:00:00"/>
    <x v="0"/>
    <x v="1"/>
    <x v="56"/>
    <x v="0"/>
    <s v="Dwayne Johnson"/>
    <s v="Kevin Hart"/>
    <s v="Amy Ryan"/>
    <s v="Aaron Paul"/>
    <s v=""/>
    <x v="21"/>
    <n v="212200000"/>
    <n v="162200000"/>
    <x v="59"/>
    <x v="0"/>
  </r>
  <r>
    <x v="60"/>
    <d v="2014-02-12T00:00:00"/>
    <x v="3"/>
    <x v="4"/>
    <x v="57"/>
    <x v="0"/>
    <s v="Michael Peña"/>
    <s v="America Ferrera"/>
    <s v="Rosario Dawson"/>
    <s v="John Malkovich"/>
    <s v=""/>
    <x v="35"/>
    <n v="6700000"/>
    <n v="-3300000"/>
    <x v="60"/>
    <x v="3"/>
  </r>
  <r>
    <x v="61"/>
    <d v="2015-03-04T00:00:00"/>
    <x v="4"/>
    <x v="8"/>
    <x v="58"/>
    <x v="0"/>
    <s v="Sharlto Copley"/>
    <s v="Ninja"/>
    <s v="Yolandi Visser"/>
    <s v="Dev Patel"/>
    <s v="Hugh Jackman"/>
    <x v="44"/>
    <n v="102100000"/>
    <n v="53100000"/>
    <x v="61"/>
    <x v="2"/>
  </r>
  <r>
    <x v="62"/>
    <d v="2012-10-26T00:00:00"/>
    <x v="2"/>
    <x v="3"/>
    <x v="59"/>
    <x v="5"/>
    <s v="Gerard Butler"/>
    <s v="Jonny Weston"/>
    <s v="Elisabeth Shue"/>
    <s v="Abigail Spencer"/>
    <s v=""/>
    <x v="13"/>
    <n v="8300000"/>
    <n v="-11700000"/>
    <x v="62"/>
    <x v="3"/>
  </r>
  <r>
    <x v="63"/>
    <d v="2014-03-07T00:00:00"/>
    <x v="3"/>
    <x v="2"/>
    <x v="60"/>
    <x v="0"/>
    <s v="Jon Favreau"/>
    <s v="Sofía Vergara"/>
    <s v="Scarlett Johansson"/>
    <s v="John Leguizamo"/>
    <s v="Robert Downey"/>
    <x v="40"/>
    <n v="46000000"/>
    <n v="35000000"/>
    <x v="63"/>
    <x v="0"/>
  </r>
  <r>
    <x v="64"/>
    <d v="2012-05-25T00:00:00"/>
    <x v="2"/>
    <x v="7"/>
    <x v="61"/>
    <x v="0"/>
    <s v="Jonathan Sadowski"/>
    <s v="Devin Kelley"/>
    <s v="Jesse McCartney"/>
    <s v="Olivia Taylor Dudley"/>
    <s v="Nathan Phillips"/>
    <x v="45"/>
    <n v="37200000"/>
    <n v="36200000"/>
    <x v="64"/>
    <x v="0"/>
  </r>
  <r>
    <x v="65"/>
    <d v="2015-04-17T00:00:00"/>
    <x v="4"/>
    <x v="4"/>
    <x v="62"/>
    <x v="0"/>
    <s v="Tom Hardy"/>
    <s v="Gary Oldman"/>
    <s v="Joel Kinnaman"/>
    <s v="Noomi Rapace"/>
    <s v="Jason Clarke"/>
    <x v="21"/>
    <n v="13000000"/>
    <n v="-37000000"/>
    <x v="65"/>
    <x v="3"/>
  </r>
  <r>
    <x v="66"/>
    <d v="2012-02-03T00:00:00"/>
    <x v="2"/>
    <x v="8"/>
    <x v="63"/>
    <x v="0"/>
    <s v="Dane DeHaan"/>
    <s v="Michael B. Jordan"/>
    <s v="Alex Russell"/>
    <s v="Michael Kelly"/>
    <s v=""/>
    <x v="46"/>
    <n v="126600000"/>
    <n v="114600000"/>
    <x v="66"/>
    <x v="0"/>
  </r>
  <r>
    <x v="67"/>
    <d v="2012-10-26T00:00:00"/>
    <x v="2"/>
    <x v="4"/>
    <x v="64"/>
    <x v="6"/>
    <s v="Tom Hanks"/>
    <s v="Jim Sturgess"/>
    <s v="David Gyasi"/>
    <s v="Jim Broadbent"/>
    <s v="Ben Whishaw"/>
    <x v="47"/>
    <n v="130500000"/>
    <n v="2000000"/>
    <x v="67"/>
    <x v="1"/>
  </r>
  <r>
    <x v="68"/>
    <d v="2013-09-27T00:00:00"/>
    <x v="1"/>
    <x v="13"/>
    <x v="65"/>
    <x v="7"/>
    <s v="Anna Faris"/>
    <s v="Bill Hader"/>
    <s v="Andy Samberg"/>
    <s v="Kristen Schaal"/>
    <s v="James Caan"/>
    <x v="48"/>
    <n v="274300000"/>
    <n v="196300000"/>
    <x v="68"/>
    <x v="2"/>
  </r>
  <r>
    <x v="69"/>
    <d v="2015-12-25T00:00:00"/>
    <x v="4"/>
    <x v="4"/>
    <x v="66"/>
    <x v="0"/>
    <s v="Will Smith"/>
    <s v="Alec Baldwin"/>
    <s v="Gugu Mbatha-Raw"/>
    <s v="Albert Brooks"/>
    <s v="Paul Reiser"/>
    <x v="49"/>
    <n v="50300000"/>
    <n v="-6700000"/>
    <x v="69"/>
    <x v="3"/>
  </r>
  <r>
    <x v="70"/>
    <d v="2015-11-25T00:00:00"/>
    <x v="4"/>
    <x v="4"/>
    <x v="67"/>
    <x v="0"/>
    <s v="Michael B. Jordan"/>
    <s v="Sylvester Stallone"/>
    <s v="Tessa Thompson"/>
    <s v="Graham McTavish"/>
    <s v="Tony Bellew"/>
    <x v="6"/>
    <n v="173600000"/>
    <n v="133600000"/>
    <x v="70"/>
    <x v="0"/>
  </r>
  <r>
    <x v="71"/>
    <d v="2016-04-15T00:00:00"/>
    <x v="0"/>
    <x v="1"/>
    <x v="68"/>
    <x v="0"/>
    <s v="Kevin Costner"/>
    <s v="Gary Oldman"/>
    <s v="Tommy Lee Jones"/>
    <s v="Alice Eve"/>
    <s v="Gal Gadot"/>
    <x v="50"/>
    <n v="35600000"/>
    <n v="4100000"/>
    <x v="71"/>
    <x v="1"/>
  </r>
  <r>
    <x v="72"/>
    <d v="2015-10-16T00:00:00"/>
    <x v="4"/>
    <x v="7"/>
    <x v="69"/>
    <x v="0"/>
    <s v="Mia Wasikowska"/>
    <s v="Tom Hiddleston"/>
    <s v="Charlie Hunnam"/>
    <s v="Jessica Chastain"/>
    <s v="Jim Beaver"/>
    <x v="3"/>
    <n v="74700000"/>
    <n v="19700000"/>
    <x v="72"/>
    <x v="1"/>
  </r>
  <r>
    <x v="73"/>
    <d v="2015-12-25T00:00:00"/>
    <x v="4"/>
    <x v="2"/>
    <x v="70"/>
    <x v="8"/>
    <s v="Will Ferrell"/>
    <s v="Mark Wahlberg"/>
    <s v="Linda Cardellini"/>
    <s v=""/>
    <s v=""/>
    <x v="51"/>
    <n v="240400000"/>
    <n v="171400000"/>
    <x v="73"/>
    <x v="2"/>
  </r>
  <r>
    <x v="74"/>
    <d v="2015-03-20T00:00:00"/>
    <x v="4"/>
    <x v="2"/>
    <x v="71"/>
    <x v="0"/>
    <s v="Al Pacino"/>
    <s v="Annette Bening"/>
    <s v="Jennifer Garner"/>
    <s v="Bobby Cannavale"/>
    <s v="Christopher Plummer"/>
    <x v="35"/>
    <n v="8200000"/>
    <n v="-1800000"/>
    <x v="74"/>
    <x v="3"/>
  </r>
  <r>
    <x v="75"/>
    <d v="2012-05-11T00:00:00"/>
    <x v="2"/>
    <x v="2"/>
    <x v="41"/>
    <x v="0"/>
    <s v="Johnny Depp"/>
    <s v="Michelle Pfeiffer"/>
    <s v="Helena Bonham Carter"/>
    <s v="Eva Green"/>
    <s v="Jackie Earle Haley"/>
    <x v="52"/>
    <n v="245500000"/>
    <n v="95500000"/>
    <x v="75"/>
    <x v="1"/>
  </r>
  <r>
    <x v="76"/>
    <d v="2013-02-22T00:00:00"/>
    <x v="1"/>
    <x v="7"/>
    <x v="72"/>
    <x v="0"/>
    <s v="Keri Russell"/>
    <s v="Josh Hamilton"/>
    <s v="Dakota Goyo"/>
    <s v=""/>
    <s v=""/>
    <x v="28"/>
    <n v="26400000"/>
    <n v="22900000"/>
    <x v="76"/>
    <x v="0"/>
  </r>
  <r>
    <x v="77"/>
    <d v="2014-06-26T00:00:00"/>
    <x v="3"/>
    <x v="1"/>
    <x v="73"/>
    <x v="0"/>
    <s v="Andy Serkis"/>
    <s v="Gary Oldman"/>
    <s v="Jason Clarke"/>
    <s v="Kodi Smit-McPhee"/>
    <s v="Keri Russell"/>
    <x v="53"/>
    <n v="710600000"/>
    <n v="475600000"/>
    <x v="77"/>
    <x v="2"/>
  </r>
  <r>
    <x v="78"/>
    <d v="2013-03-08T00:00:00"/>
    <x v="1"/>
    <x v="1"/>
    <x v="74"/>
    <x v="0"/>
    <s v="Colin Farrell"/>
    <s v="Noomi Rapace"/>
    <s v="Dominic Cooper"/>
    <s v="Terrence Howard"/>
    <s v="Wade Barrett"/>
    <x v="54"/>
    <n v="18100000"/>
    <n v="-11900000"/>
    <x v="78"/>
    <x v="3"/>
  </r>
  <r>
    <x v="79"/>
    <d v="2016-02-08T00:00:00"/>
    <x v="0"/>
    <x v="1"/>
    <x v="75"/>
    <x v="0"/>
    <s v="Ryan Reynolds"/>
    <s v="Gina Carano"/>
    <s v="T. J. Miller"/>
    <s v="Ed Skrein"/>
    <s v="Morena Baccarin"/>
    <x v="55"/>
    <n v="782600000"/>
    <n v="724600000"/>
    <x v="79"/>
    <x v="0"/>
  </r>
  <r>
    <x v="80"/>
    <d v="2012-01-27T00:00:00"/>
    <x v="2"/>
    <x v="9"/>
    <x v="76"/>
    <x v="0"/>
    <s v="Valérie Donzelli (director)"/>
    <s v=""/>
    <s v=""/>
    <s v=""/>
    <s v=""/>
    <x v="56"/>
    <n v="6500000"/>
    <n v="5000000"/>
    <x v="80"/>
    <x v="0"/>
  </r>
  <r>
    <x v="81"/>
    <d v="2014-07-02T00:00:00"/>
    <x v="3"/>
    <x v="7"/>
    <x v="77"/>
    <x v="9"/>
    <s v="Eric Bana"/>
    <s v="Édgar Ramírez"/>
    <s v="Olivia Munn"/>
    <s v="Joel McHale"/>
    <s v=""/>
    <x v="54"/>
    <n v="87900000"/>
    <n v="57900000"/>
    <x v="44"/>
    <x v="2"/>
  </r>
  <r>
    <x v="82"/>
    <d v="2013-06-20T00:00:00"/>
    <x v="1"/>
    <x v="2"/>
    <x v="78"/>
    <x v="10"/>
    <s v="Steve Carell"/>
    <s v="Kristen Wiig"/>
    <s v="Miranda Cosgrove"/>
    <s v="Dana Gaier"/>
    <s v="Elsie Fisher"/>
    <x v="57"/>
    <n v="970800000"/>
    <n v="894800000"/>
    <x v="81"/>
    <x v="0"/>
  </r>
  <r>
    <x v="83"/>
    <d v="2014-01-17T00:00:00"/>
    <x v="3"/>
    <x v="7"/>
    <x v="79"/>
    <x v="11"/>
    <s v="Allison Miller"/>
    <s v="Zach Gilford"/>
    <s v="Sam Anderson"/>
    <s v="Aimee Carrero"/>
    <s v="Vanessa Ray"/>
    <x v="34"/>
    <n v="36900000"/>
    <n v="29900000"/>
    <x v="82"/>
    <x v="0"/>
  </r>
  <r>
    <x v="84"/>
    <d v="2012-08-03T00:00:00"/>
    <x v="2"/>
    <x v="2"/>
    <x v="80"/>
    <x v="0"/>
    <s v="Zachary Gordon"/>
    <s v="Robert Capron"/>
    <s v="Rachael Harris"/>
    <s v="Devon Bostick"/>
    <s v="Steve Zahn"/>
    <x v="32"/>
    <n v="77100000"/>
    <n v="55100000"/>
    <x v="83"/>
    <x v="2"/>
  </r>
  <r>
    <x v="85"/>
    <d v="2014-03-18T00:00:00"/>
    <x v="3"/>
    <x v="8"/>
    <x v="81"/>
    <x v="0"/>
    <s v="Shailene Woodley"/>
    <s v="Kate Winslet"/>
    <s v="Theo James"/>
    <s v="Ansel Elgort"/>
    <s v="Zoë Kravitz"/>
    <x v="58"/>
    <n v="288900000"/>
    <n v="203900000"/>
    <x v="84"/>
    <x v="2"/>
  </r>
  <r>
    <x v="86"/>
    <d v="2012-12-25T00:00:00"/>
    <x v="2"/>
    <x v="1"/>
    <x v="82"/>
    <x v="0"/>
    <s v="Christoph Waltz"/>
    <s v="Jamie Foxx"/>
    <s v="Leonardo DiCaprio"/>
    <s v="Samuel L. Jackson"/>
    <s v="Bruce Dern"/>
    <x v="33"/>
    <n v="425400000"/>
    <n v="325400000"/>
    <x v="85"/>
    <x v="0"/>
  </r>
  <r>
    <x v="87"/>
    <d v="2014-09-12T00:00:00"/>
    <x v="3"/>
    <x v="13"/>
    <x v="83"/>
    <x v="0"/>
    <s v="Winter"/>
    <s v="Hope"/>
    <s v="Nathan Gamble"/>
    <s v="Harry Connick"/>
    <s v="Jr."/>
    <x v="59"/>
    <n v="57800000"/>
    <n v="21800000"/>
    <x v="86"/>
    <x v="1"/>
  </r>
  <r>
    <x v="88"/>
    <d v="2016-08-26T00:00:00"/>
    <x v="0"/>
    <x v="0"/>
    <x v="84"/>
    <x v="0"/>
    <s v="Dylan Minnette"/>
    <s v="Stephen Lang"/>
    <s v="Daniel Zovatto"/>
    <s v=""/>
    <s v=""/>
    <x v="60"/>
    <n v="28300000"/>
    <n v="18400000"/>
    <x v="87"/>
    <x v="2"/>
  </r>
  <r>
    <x v="89"/>
    <d v="2012-03-02T00:00:00"/>
    <x v="2"/>
    <x v="13"/>
    <x v="78"/>
    <x v="0"/>
    <s v="Danny DeVito"/>
    <s v="Zac Efron"/>
    <s v="Taylor Swift"/>
    <s v="Ed Helms"/>
    <s v="Rob Riggle"/>
    <x v="37"/>
    <n v="348800000"/>
    <n v="278800000"/>
    <x v="88"/>
    <x v="0"/>
  </r>
  <r>
    <x v="90"/>
    <d v="2014-10-10T00:00:00"/>
    <x v="3"/>
    <x v="4"/>
    <x v="85"/>
    <x v="0"/>
    <s v="Luke Evans"/>
    <s v="Sarah Gadon"/>
    <s v="William Houston"/>
    <s v="Dominic Cooper"/>
    <s v="Samantha Barks"/>
    <x v="37"/>
    <n v="217100000"/>
    <n v="147100000"/>
    <x v="89"/>
    <x v="2"/>
  </r>
  <r>
    <x v="91"/>
    <d v="2014-04-07T00:00:00"/>
    <x v="3"/>
    <x v="4"/>
    <x v="86"/>
    <x v="0"/>
    <s v="Kevin Costner"/>
    <s v="Jennifer Garner"/>
    <s v="Denis Leary"/>
    <s v="Frank Langella"/>
    <s v="Tom Welling"/>
    <x v="61"/>
    <n v="29500000"/>
    <n v="4500000"/>
    <x v="90"/>
    <x v="1"/>
  </r>
  <r>
    <x v="92"/>
    <d v="2015-02-18T00:00:00"/>
    <x v="4"/>
    <x v="1"/>
    <x v="87"/>
    <x v="0"/>
    <s v="Jackie Chan"/>
    <s v="Choi Siwon"/>
    <s v="John Cusack"/>
    <s v="Adrien Brody"/>
    <s v="James Lee Guy"/>
    <x v="25"/>
    <n v="120000000"/>
    <n v="55000000"/>
    <x v="91"/>
    <x v="1"/>
  </r>
  <r>
    <x v="93"/>
    <d v="2014-11-14T00:00:00"/>
    <x v="3"/>
    <x v="2"/>
    <x v="88"/>
    <x v="12"/>
    <s v="Jim Carrey"/>
    <s v="Jeff Daniels"/>
    <s v="Kathleen Turner"/>
    <s v="Laurie Holden"/>
    <s v=""/>
    <x v="21"/>
    <n v="169800000"/>
    <n v="119800000"/>
    <x v="92"/>
    <x v="2"/>
  </r>
  <r>
    <x v="94"/>
    <d v="2014-06-14T00:00:00"/>
    <x v="3"/>
    <x v="8"/>
    <x v="89"/>
    <x v="0"/>
    <s v="Astro"/>
    <s v="Teo Halm"/>
    <s v="Reese Hartwig"/>
    <s v="Ella Wahlestedt"/>
    <s v=""/>
    <x v="62"/>
    <n v="45300000"/>
    <n v="32300000"/>
    <x v="93"/>
    <x v="2"/>
  </r>
  <r>
    <x v="95"/>
    <d v="2016-02-26T00:00:00"/>
    <x v="0"/>
    <x v="4"/>
    <x v="90"/>
    <x v="0"/>
    <s v="Taron Egerton"/>
    <s v="Christopher Walken"/>
    <s v="Hugh Jackman"/>
    <s v=""/>
    <s v=""/>
    <x v="39"/>
    <n v="46200000"/>
    <n v="23200000"/>
    <x v="94"/>
    <x v="2"/>
  </r>
  <r>
    <x v="96"/>
    <d v="2014-05-28T00:00:00"/>
    <x v="3"/>
    <x v="1"/>
    <x v="91"/>
    <x v="0"/>
    <s v="Tom Cruise"/>
    <s v="Emily Blunt"/>
    <s v=""/>
    <s v=""/>
    <s v=""/>
    <x v="63"/>
    <n v="370500000"/>
    <n v="192500000"/>
    <x v="95"/>
    <x v="2"/>
  </r>
  <r>
    <x v="97"/>
    <d v="2013-08-09T00:00:00"/>
    <x v="1"/>
    <x v="8"/>
    <x v="58"/>
    <x v="0"/>
    <s v="Matt Damon"/>
    <s v="Jodie Foster"/>
    <s v="Sharlto Copley"/>
    <s v="Wagner Moura"/>
    <s v="Alice Braga"/>
    <x v="64"/>
    <n v="286100000"/>
    <n v="171100000"/>
    <x v="96"/>
    <x v="2"/>
  </r>
  <r>
    <x v="98"/>
    <d v="2015-05-15T00:00:00"/>
    <x v="4"/>
    <x v="6"/>
    <x v="92"/>
    <x v="0"/>
    <s v="Jan Bijvoet"/>
    <s v="Nilbio Torres"/>
    <s v="Antonio Bolívar"/>
    <s v=""/>
    <s v=""/>
    <x v="65"/>
    <n v="2800000"/>
    <n v="1400000"/>
    <x v="97"/>
    <x v="2"/>
  </r>
  <r>
    <x v="99"/>
    <d v="2012-09-21T00:00:00"/>
    <x v="2"/>
    <x v="1"/>
    <x v="93"/>
    <x v="0"/>
    <s v="Jake Gyllenhaal"/>
    <s v="Michael Peña"/>
    <s v="Anna Kendrick"/>
    <s v="Frank Grillo"/>
    <s v="America Ferrera"/>
    <x v="34"/>
    <n v="48100000"/>
    <n v="41100000"/>
    <x v="98"/>
    <x v="0"/>
  </r>
  <r>
    <x v="100"/>
    <d v="2013-09-20T00:00:00"/>
    <x v="1"/>
    <x v="2"/>
    <x v="94"/>
    <x v="0"/>
    <s v="James Gandolfini"/>
    <s v="Julia Louis-Dreyfus"/>
    <s v="Toni Collette"/>
    <s v="Catherine Keener"/>
    <s v="Ben Falcone"/>
    <x v="15"/>
    <n v="25300000"/>
    <n v="17300000"/>
    <x v="99"/>
    <x v="2"/>
  </r>
  <r>
    <x v="101"/>
    <d v="2015-05-27T00:00:00"/>
    <x v="4"/>
    <x v="2"/>
    <x v="95"/>
    <x v="0"/>
    <s v="Adrian Grenier"/>
    <s v="Kevin Connolly"/>
    <s v="Kevin Dillon"/>
    <s v="Jerry Ferrara"/>
    <s v="Jeremy Piven"/>
    <x v="66"/>
    <n v="49300000"/>
    <n v="10300000"/>
    <x v="100"/>
    <x v="1"/>
  </r>
  <r>
    <x v="102"/>
    <d v="2013-05-24T00:00:00"/>
    <x v="1"/>
    <x v="6"/>
    <x v="96"/>
    <x v="0"/>
    <s v="Colin Farrell"/>
    <s v="Josh Hutcherson"/>
    <s v="Amanda Seyfried"/>
    <s v="Jason Sudeikis"/>
    <s v="Christoph Waltz"/>
    <x v="67"/>
    <n v="268400000"/>
    <n v="175400000"/>
    <x v="101"/>
    <x v="2"/>
  </r>
  <r>
    <x v="103"/>
    <d v="2013-02-15T00:00:00"/>
    <x v="1"/>
    <x v="2"/>
    <x v="97"/>
    <x v="0"/>
    <s v="Brendan Fraser"/>
    <s v="Rob Corddry"/>
    <s v="Jessica Alba"/>
    <s v="William Shatner"/>
    <s v="Sarah Jessica Parker"/>
    <x v="6"/>
    <n v="74600000"/>
    <n v="34600000"/>
    <x v="102"/>
    <x v="1"/>
  </r>
  <r>
    <x v="104"/>
    <d v="2013-04-05T00:00:00"/>
    <x v="1"/>
    <x v="7"/>
    <x v="84"/>
    <x v="0"/>
    <s v="Jane Levy"/>
    <s v="Shiloh Fernandez"/>
    <s v="Lou Taylor Pucci"/>
    <s v="Jessica Lucas"/>
    <s v="Elizabeth Blackmore"/>
    <x v="68"/>
    <n v="97500000"/>
    <n v="80500000"/>
    <x v="103"/>
    <x v="0"/>
  </r>
  <r>
    <x v="105"/>
    <d v="2015-01-21T00:00:00"/>
    <x v="4"/>
    <x v="8"/>
    <x v="98"/>
    <x v="0"/>
    <s v="Domhnall Gleeson"/>
    <s v="Oscar Isaac"/>
    <s v="Alicia Vikander"/>
    <s v=""/>
    <s v=""/>
    <x v="0"/>
    <n v="36900000"/>
    <n v="21900000"/>
    <x v="104"/>
    <x v="2"/>
  </r>
  <r>
    <x v="106"/>
    <d v="2015-09-11T00:00:00"/>
    <x v="4"/>
    <x v="0"/>
    <x v="99"/>
    <x v="0"/>
    <s v="Helen Mirren"/>
    <s v="Aaron Paul"/>
    <s v="Alan Rickman"/>
    <s v="Barkhad Abdi"/>
    <s v=""/>
    <x v="62"/>
    <n v="32800000"/>
    <n v="19800000"/>
    <x v="105"/>
    <x v="2"/>
  </r>
  <r>
    <x v="107"/>
    <d v="2015-08-04T00:00:00"/>
    <x v="4"/>
    <x v="1"/>
    <x v="63"/>
    <x v="0"/>
    <s v="Miles Teller"/>
    <s v="Michael B. Jordan"/>
    <s v="Kate Mara"/>
    <s v="Jamie Bell"/>
    <s v="Toby Kebbell"/>
    <x v="69"/>
    <n v="168000000"/>
    <n v="48000000"/>
    <x v="57"/>
    <x v="1"/>
  </r>
  <r>
    <x v="108"/>
    <d v="2013-05-17T00:00:00"/>
    <x v="1"/>
    <x v="1"/>
    <x v="100"/>
    <x v="0"/>
    <s v="Vin Diesel"/>
    <s v="Dwayne Johnson"/>
    <s v="Paul Walker"/>
    <s v="Michelle Rodriguez"/>
    <s v="Jordana Brewster"/>
    <x v="70"/>
    <n v="788700000"/>
    <n v="628700000"/>
    <x v="106"/>
    <x v="0"/>
  </r>
  <r>
    <x v="109"/>
    <d v="2012-11-02T00:00:00"/>
    <x v="2"/>
    <x v="4"/>
    <x v="101"/>
    <x v="0"/>
    <s v="Denzel Washington"/>
    <s v="Brian Geraghty"/>
    <s v="Nadine Velazquez"/>
    <s v="Bruce Greenwood"/>
    <s v="John Goodman"/>
    <x v="71"/>
    <n v="161800000"/>
    <n v="130800000"/>
    <x v="107"/>
    <x v="0"/>
  </r>
  <r>
    <x v="110"/>
    <d v="2016-04-27T00:00:00"/>
    <x v="0"/>
    <x v="3"/>
    <x v="102"/>
    <x v="0"/>
    <s v="Meryl Streep"/>
    <s v="Hugh Grant"/>
    <s v="Simon Helberg"/>
    <s v="Nina Arianda"/>
    <s v="Rebecca Ferguson"/>
    <x v="72"/>
    <n v="31700000"/>
    <n v="12700000"/>
    <x v="108"/>
    <x v="1"/>
  </r>
  <r>
    <x v="111"/>
    <d v="2013-05-17T00:00:00"/>
    <x v="1"/>
    <x v="4"/>
    <x v="103"/>
    <x v="0"/>
    <s v="Greta Gerwig"/>
    <s v="Charlotte d'Amboise"/>
    <s v="Adam Driver"/>
    <s v="Grace Gummer"/>
    <s v="Patrick Heusinger"/>
    <x v="73"/>
    <n v="11300000"/>
    <n v="8300000"/>
    <x v="109"/>
    <x v="2"/>
  </r>
  <r>
    <x v="112"/>
    <d v="2016-06-16T00:00:00"/>
    <x v="0"/>
    <x v="4"/>
    <x v="104"/>
    <x v="0"/>
    <s v="Matthew McConaughey"/>
    <s v="Gugu Mbatha-Raw"/>
    <s v="Keri Russell"/>
    <s v="Mahershala Ali"/>
    <s v=""/>
    <x v="21"/>
    <n v="21200000"/>
    <n v="-28800000"/>
    <x v="110"/>
    <x v="3"/>
  </r>
  <r>
    <x v="113"/>
    <d v="2012-03-09T00:00:00"/>
    <x v="2"/>
    <x v="2"/>
    <x v="105"/>
    <x v="0"/>
    <s v="Adam Scott"/>
    <s v="Jennifer Westfeldt"/>
    <s v="Jon Hamm"/>
    <s v="Kristen Wiig"/>
    <s v="Maya Rudolph"/>
    <x v="35"/>
    <n v="12200000"/>
    <n v="2200000"/>
    <x v="111"/>
    <x v="1"/>
  </r>
  <r>
    <x v="114"/>
    <d v="2012-10-26T00:00:00"/>
    <x v="2"/>
    <x v="2"/>
    <x v="106"/>
    <x v="0"/>
    <s v="Victoria Justice"/>
    <s v="Jane Levy"/>
    <s v="Thomas McDonell"/>
    <s v="Thomas Mann"/>
    <s v="Chelsea Handler"/>
    <x v="74"/>
    <n v="11400000"/>
    <n v="-2600000"/>
    <x v="112"/>
    <x v="3"/>
  </r>
  <r>
    <x v="115"/>
    <d v="2014-10-15T00:00:00"/>
    <x v="3"/>
    <x v="1"/>
    <x v="93"/>
    <x v="0"/>
    <s v="Brad Pitt"/>
    <s v="Shia LaBeouf"/>
    <s v="Logan Lerman"/>
    <s v="Michael Peña"/>
    <s v="Jon Bernthal"/>
    <x v="75"/>
    <n v="211800000"/>
    <n v="143800000"/>
    <x v="113"/>
    <x v="2"/>
  </r>
  <r>
    <x v="116"/>
    <d v="2013-03-27T00:00:00"/>
    <x v="1"/>
    <x v="1"/>
    <x v="107"/>
    <x v="0"/>
    <s v="Channing Tatum"/>
    <s v="Ray Park"/>
    <s v="Dwayne Johnson"/>
    <s v="Bruce Willis"/>
    <s v="Elodie Yung"/>
    <x v="17"/>
    <n v="375700000"/>
    <n v="245700000"/>
    <x v="114"/>
    <x v="2"/>
  </r>
  <r>
    <x v="117"/>
    <d v="2013-01-11T00:00:00"/>
    <x v="1"/>
    <x v="1"/>
    <x v="108"/>
    <x v="0"/>
    <s v="Ryan Gosling"/>
    <s v="Emma Stone"/>
    <s v="Sean Penn"/>
    <s v="Josh Brolin"/>
    <s v="Robert Patrick"/>
    <x v="76"/>
    <n v="105200000"/>
    <n v="30200000"/>
    <x v="115"/>
    <x v="1"/>
  </r>
  <r>
    <x v="118"/>
    <d v="2015-03-27T00:00:00"/>
    <x v="4"/>
    <x v="2"/>
    <x v="109"/>
    <x v="0"/>
    <s v="Will Ferrell"/>
    <s v="Kevin Hart"/>
    <s v="Alison Brie"/>
    <s v="Craig T. Nelson"/>
    <s v="T.I."/>
    <x v="6"/>
    <n v="111800000"/>
    <n v="71800000"/>
    <x v="116"/>
    <x v="2"/>
  </r>
  <r>
    <x v="119"/>
    <d v="2014-08-01T00:00:00"/>
    <x v="3"/>
    <x v="4"/>
    <x v="110"/>
    <x v="0"/>
    <s v="Chadwick Boseman"/>
    <s v="Nelsan Ellis"/>
    <s v="Brandon Mychal Smith"/>
    <s v="Jill Scott"/>
    <s v="Tika Sumpter"/>
    <x v="54"/>
    <n v="33400000"/>
    <n v="3400000"/>
    <x v="117"/>
    <x v="1"/>
  </r>
  <r>
    <x v="120"/>
    <d v="2013-08-30T00:00:00"/>
    <x v="1"/>
    <x v="1"/>
    <x v="111"/>
    <x v="13"/>
    <s v="Ethan Hawke"/>
    <s v="Selena Gomez"/>
    <s v="Jon Voight"/>
    <s v="James Maslow"/>
    <s v=""/>
    <x v="38"/>
    <n v="11800000"/>
    <n v="-6200000"/>
    <x v="118"/>
    <x v="3"/>
  </r>
  <r>
    <x v="121"/>
    <d v="2012-02-17T00:00:00"/>
    <x v="2"/>
    <x v="1"/>
    <x v="112"/>
    <x v="14"/>
    <s v="Nicolas Cage"/>
    <s v="Idris Elba"/>
    <s v="Fergus Riordan"/>
    <s v="Ciarán Hinds"/>
    <s v="Violante Placido"/>
    <x v="49"/>
    <n v="132600000"/>
    <n v="75600000"/>
    <x v="119"/>
    <x v="2"/>
  </r>
  <r>
    <x v="122"/>
    <d v="2016-07-15T00:00:00"/>
    <x v="0"/>
    <x v="2"/>
    <x v="113"/>
    <x v="0"/>
    <s v="Melissa McCarthy"/>
    <s v="Kristen Wiig"/>
    <s v="Leslie Jones"/>
    <s v="Kate McKinnon"/>
    <s v="Chris Hemsworth"/>
    <x v="77"/>
    <n v="217500000"/>
    <n v="73500000"/>
    <x v="120"/>
    <x v="1"/>
  </r>
  <r>
    <x v="123"/>
    <d v="2014-03-21T00:00:00"/>
    <x v="3"/>
    <x v="14"/>
    <x v="114"/>
    <x v="0"/>
    <s v="Willie Robertson"/>
    <s v="David A. R. White"/>
    <s v="Shane Harper"/>
    <s v="Kevin Sorbo"/>
    <s v="Korie Robertson"/>
    <x v="42"/>
    <n v="62600000"/>
    <n v="60600000"/>
    <x v="121"/>
    <x v="0"/>
  </r>
  <r>
    <x v="124"/>
    <d v="2016-04-01T00:00:00"/>
    <x v="0"/>
    <x v="14"/>
    <x v="114"/>
    <x v="0"/>
    <s v="Melissa Joan Hart"/>
    <s v="David A. R. White"/>
    <s v="Ray Wise"/>
    <s v="Robin Givens"/>
    <s v="Ernie Hudson"/>
    <x v="8"/>
    <n v="23500000"/>
    <n v="18500000"/>
    <x v="24"/>
    <x v="0"/>
  </r>
  <r>
    <x v="125"/>
    <d v="2016-02-25T00:00:00"/>
    <x v="0"/>
    <x v="1"/>
    <x v="115"/>
    <x v="0"/>
    <s v="Geoffrey Rush"/>
    <s v="Gerard Butler"/>
    <s v="Brenton Thwaites"/>
    <s v="Courtney Eaton"/>
    <s v="Nikolaj Coster-Waldau"/>
    <x v="78"/>
    <n v="145700000"/>
    <n v="5700000"/>
    <x v="122"/>
    <x v="1"/>
  </r>
  <r>
    <x v="126"/>
    <d v="2014-05-08T00:00:00"/>
    <x v="3"/>
    <x v="1"/>
    <x v="116"/>
    <x v="0"/>
    <s v="Aaron Taylor-Johnson"/>
    <s v="Ken Watanabe"/>
    <s v="Elizabeth Olsen"/>
    <s v="Bryan Cranston"/>
    <s v="Juliette Binoche"/>
    <x v="70"/>
    <n v="529000000"/>
    <n v="369000000"/>
    <x v="123"/>
    <x v="2"/>
  </r>
  <r>
    <x v="127"/>
    <d v="2014-09-26T00:00:00"/>
    <x v="3"/>
    <x v="12"/>
    <x v="117"/>
    <x v="0"/>
    <s v="Ben Affleck"/>
    <s v="Rosamund Pike"/>
    <s v="Neil Patrick Harris"/>
    <s v="Tyler Perry"/>
    <s v="Kim Dickens"/>
    <x v="2"/>
    <n v="369300000"/>
    <n v="308300000"/>
    <x v="124"/>
    <x v="0"/>
  </r>
  <r>
    <x v="128"/>
    <d v="2012-02-24T00:00:00"/>
    <x v="2"/>
    <x v="9"/>
    <x v="118"/>
    <x v="0"/>
    <s v="Tyler Perry"/>
    <s v="Thandie Newton"/>
    <s v="Rebecca Romijn"/>
    <s v="Brian J. White"/>
    <s v="Jamie Kennedy"/>
    <x v="74"/>
    <n v="35600000"/>
    <n v="21600000"/>
    <x v="125"/>
    <x v="2"/>
  </r>
  <r>
    <x v="129"/>
    <d v="2015-10-05T00:00:00"/>
    <x v="4"/>
    <x v="1"/>
    <x v="119"/>
    <x v="0"/>
    <s v="Jack Black"/>
    <s v="Dylan Minnette"/>
    <s v="Odeya Rush"/>
    <s v="Amy Ryan"/>
    <s v="Ryan Lee"/>
    <x v="79"/>
    <n v="150200000"/>
    <n v="66200000"/>
    <x v="126"/>
    <x v="1"/>
  </r>
  <r>
    <x v="130"/>
    <d v="2013-07-12T00:00:00"/>
    <x v="1"/>
    <x v="2"/>
    <x v="120"/>
    <x v="0"/>
    <s v="Adam Sandler"/>
    <s v="Kevin James"/>
    <s v="Chris Rock"/>
    <s v="David Spade"/>
    <s v="Taylor Lautner"/>
    <x v="80"/>
    <n v="247000000"/>
    <n v="167000000"/>
    <x v="127"/>
    <x v="2"/>
  </r>
  <r>
    <x v="131"/>
    <d v="2016-02-05T00:00:00"/>
    <x v="0"/>
    <x v="2"/>
    <x v="121"/>
    <x v="0"/>
    <s v="Josh Brolin"/>
    <s v="George Clooney"/>
    <s v="Alden Ehrenreich"/>
    <s v="Ralph Fiennes"/>
    <s v="Jonah Hill"/>
    <x v="32"/>
    <n v="22000000"/>
    <n v="0"/>
    <x v="32"/>
    <x v="1"/>
  </r>
  <r>
    <x v="132"/>
    <d v="2016-08-26T00:00:00"/>
    <x v="0"/>
    <x v="3"/>
    <x v="122"/>
    <x v="0"/>
    <s v="Édgar Ramírez"/>
    <s v="Robert De Niro"/>
    <s v="Usher"/>
    <s v="Ellen Barkin"/>
    <s v="Ana de Armas"/>
    <x v="13"/>
    <n v="1700000"/>
    <n v="-18300000"/>
    <x v="128"/>
    <x v="3"/>
  </r>
  <r>
    <x v="133"/>
    <d v="2013-01-17T00:00:00"/>
    <x v="1"/>
    <x v="1"/>
    <x v="123"/>
    <x v="0"/>
    <s v="Jeremy Renner"/>
    <s v="Gemma Arterton"/>
    <s v="Zoe Bell"/>
    <s v="Famke Janssen"/>
    <s v="Peter Stormare"/>
    <x v="21"/>
    <n v="226300000"/>
    <n v="176300000"/>
    <x v="129"/>
    <x v="0"/>
  </r>
  <r>
    <x v="134"/>
    <d v="2014-04-16T00:00:00"/>
    <x v="3"/>
    <x v="14"/>
    <x v="124"/>
    <x v="0"/>
    <s v="Greg Kinnear"/>
    <s v="Kelly Reilly"/>
    <s v="Connor Corum"/>
    <s v="Thomas Haden Church"/>
    <s v="Jacob Vargas"/>
    <x v="46"/>
    <n v="101300000"/>
    <n v="89300000"/>
    <x v="130"/>
    <x v="0"/>
  </r>
  <r>
    <x v="135"/>
    <d v="2012-10-12T00:00:00"/>
    <x v="2"/>
    <x v="2"/>
    <x v="44"/>
    <x v="0"/>
    <s v="Kevin James"/>
    <s v="Salma Hayek"/>
    <s v="Henry Winkler"/>
    <s v="Joe Rogan"/>
    <s v=""/>
    <x v="81"/>
    <n v="73100000"/>
    <n v="31100000"/>
    <x v="131"/>
    <x v="1"/>
  </r>
  <r>
    <x v="136"/>
    <d v="2012-08-22T00:00:00"/>
    <x v="2"/>
    <x v="1"/>
    <x v="125"/>
    <x v="0"/>
    <s v="Dax Shepard"/>
    <s v="Kristen Bell"/>
    <s v="Bradley Cooper"/>
    <s v="Tom Arnold"/>
    <s v="Kristin Chenoweth"/>
    <x v="42"/>
    <n v="14500000"/>
    <n v="12500000"/>
    <x v="132"/>
    <x v="0"/>
  </r>
  <r>
    <x v="137"/>
    <d v="2015-08-21T00:00:00"/>
    <x v="4"/>
    <x v="1"/>
    <x v="126"/>
    <x v="0"/>
    <s v="Rupert Friend"/>
    <s v="Zachary Quinto"/>
    <s v="Hannah Ware"/>
    <s v="Thomas Kretschmann"/>
    <s v=""/>
    <x v="18"/>
    <n v="82300000"/>
    <n v="47300000"/>
    <x v="133"/>
    <x v="2"/>
  </r>
  <r>
    <x v="138"/>
    <d v="2015-03-07T00:00:00"/>
    <x v="4"/>
    <x v="15"/>
    <x v="127"/>
    <x v="0"/>
    <s v="Jim Parsons"/>
    <s v="Rihanna"/>
    <s v="Jennifer Lopez"/>
    <s v="Steve Martin"/>
    <s v="Matt Jones"/>
    <x v="82"/>
    <n v="386000000"/>
    <n v="251000000"/>
    <x v="134"/>
    <x v="2"/>
  </r>
  <r>
    <x v="139"/>
    <d v="2012-08-08T00:00:00"/>
    <x v="2"/>
    <x v="9"/>
    <x v="128"/>
    <x v="0"/>
    <s v="Meryl Streep"/>
    <s v="Tommy Lee Jones"/>
    <s v="Steve Carell"/>
    <s v="Mimi Rogers"/>
    <s v="Elisabeth Shue"/>
    <x v="54"/>
    <n v="114300000"/>
    <n v="84300000"/>
    <x v="135"/>
    <x v="2"/>
  </r>
  <r>
    <x v="140"/>
    <d v="2014-11-26T00:00:00"/>
    <x v="3"/>
    <x v="2"/>
    <x v="70"/>
    <x v="0"/>
    <s v="Jason Bateman"/>
    <s v="Charlie Day"/>
    <s v="Jason Sudeikis"/>
    <s v="Kevin Spacey"/>
    <s v="Jennifer Aniston"/>
    <x v="49"/>
    <n v="107700000"/>
    <n v="50700000"/>
    <x v="136"/>
    <x v="1"/>
  </r>
  <r>
    <x v="141"/>
    <d v="2015-05-08T00:00:00"/>
    <x v="4"/>
    <x v="1"/>
    <x v="129"/>
    <x v="0"/>
    <s v="Reese Witherspoon"/>
    <s v="Sofía Vergara"/>
    <s v="Jim Gaffigan"/>
    <s v="John Carroll Lynch"/>
    <s v=""/>
    <x v="18"/>
    <n v="51700000"/>
    <n v="16700000"/>
    <x v="137"/>
    <x v="1"/>
  </r>
  <r>
    <x v="142"/>
    <d v="2012-09-28T00:00:00"/>
    <x v="2"/>
    <x v="11"/>
    <x v="130"/>
    <x v="0"/>
    <s v="Adam Sandler"/>
    <s v="Selena Gomez"/>
    <s v="Andy Samberg"/>
    <s v="Kevin James"/>
    <s v="Fran Drescher"/>
    <x v="58"/>
    <n v="358400000"/>
    <n v="273400000"/>
    <x v="138"/>
    <x v="0"/>
  </r>
  <r>
    <x v="143"/>
    <d v="2015-09-25T00:00:00"/>
    <x v="4"/>
    <x v="11"/>
    <x v="130"/>
    <x v="0"/>
    <s v="Adam Sandler"/>
    <s v="Andy Samberg"/>
    <s v="Selena Gomez"/>
    <s v="Kevin James"/>
    <s v="Steve Buscemi"/>
    <x v="80"/>
    <n v="473000000"/>
    <n v="393000000"/>
    <x v="139"/>
    <x v="0"/>
  </r>
  <r>
    <x v="144"/>
    <d v="2014-05-16T00:00:00"/>
    <x v="3"/>
    <x v="13"/>
    <x v="131"/>
    <x v="0"/>
    <s v="Jay Baruchel"/>
    <s v="Gerard Butler"/>
    <s v="Craig Ferguson"/>
    <s v="America Ferrera"/>
    <s v="Jonah Hill"/>
    <x v="83"/>
    <n v="621500000"/>
    <n v="476500000"/>
    <x v="140"/>
    <x v="0"/>
  </r>
  <r>
    <x v="145"/>
    <d v="2015-01-14T00:00:00"/>
    <x v="4"/>
    <x v="9"/>
    <x v="132"/>
    <x v="0"/>
    <s v="Vikram"/>
    <s v="Amy Jackson"/>
    <s v="N. Santhanam"/>
    <s v="Suresh Gopi"/>
    <s v="Upen Patel"/>
    <x v="0"/>
    <n v="65000000"/>
    <n v="50000000"/>
    <x v="80"/>
    <x v="0"/>
  </r>
  <r>
    <x v="146"/>
    <d v="2015-09-11T00:00:00"/>
    <x v="4"/>
    <x v="4"/>
    <x v="133"/>
    <x v="15"/>
    <s v="Elizabeth Olsen"/>
    <s v=""/>
    <s v=""/>
    <s v=""/>
    <s v=""/>
    <x v="62"/>
    <n v="2600000"/>
    <n v="-10400000"/>
    <x v="141"/>
    <x v="3"/>
  </r>
  <r>
    <x v="147"/>
    <d v="2016-07-22T00:00:00"/>
    <x v="0"/>
    <x v="6"/>
    <x v="134"/>
    <x v="16"/>
    <s v="Ray Romano"/>
    <s v="John Leguizamo"/>
    <s v="Denis Leary"/>
    <s v="Queen Latifah"/>
    <s v="Jennifer Lopez"/>
    <x v="84"/>
    <n v="368300000"/>
    <n v="263300000"/>
    <x v="142"/>
    <x v="2"/>
  </r>
  <r>
    <x v="148"/>
    <d v="2012-07-13T00:00:00"/>
    <x v="2"/>
    <x v="6"/>
    <x v="135"/>
    <x v="17"/>
    <s v="Ray Romano"/>
    <s v="John Leguizamo"/>
    <s v="Denis Leary"/>
    <s v="Queen Latifah"/>
    <s v="Seann William Scott"/>
    <x v="85"/>
    <n v="877000000"/>
    <n v="782000000"/>
    <x v="143"/>
    <x v="0"/>
  </r>
  <r>
    <x v="149"/>
    <d v="2013-02-08T00:00:00"/>
    <x v="1"/>
    <x v="1"/>
    <x v="136"/>
    <x v="0"/>
    <s v="Jason Bateman"/>
    <s v="Melissa McCarthy"/>
    <s v="Amanda Peet"/>
    <s v="John Cho"/>
    <s v="Clark Duke"/>
    <x v="18"/>
    <n v="174000000"/>
    <n v="139000000"/>
    <x v="144"/>
    <x v="0"/>
  </r>
  <r>
    <x v="150"/>
    <d v="2014-08-18T00:00:00"/>
    <x v="3"/>
    <x v="4"/>
    <x v="137"/>
    <x v="0"/>
    <s v="Chloë Grace Moretz"/>
    <s v="Mireille Enos"/>
    <s v="Lauren Lee Smith"/>
    <s v="Liana Liberato"/>
    <s v="Jamie Blackley"/>
    <x v="40"/>
    <n v="78900000"/>
    <n v="67900000"/>
    <x v="145"/>
    <x v="0"/>
  </r>
  <r>
    <x v="151"/>
    <d v="2015-12-11T00:00:00"/>
    <x v="4"/>
    <x v="3"/>
    <x v="138"/>
    <x v="0"/>
    <s v="Chris Hemsworth"/>
    <s v="Benjamin Walker"/>
    <s v="Cillian Murphy"/>
    <s v="Tom Holland"/>
    <s v="Ben Whishaw"/>
    <x v="33"/>
    <n v="93900000"/>
    <n v="-6100000"/>
    <x v="146"/>
    <x v="3"/>
  </r>
  <r>
    <x v="152"/>
    <d v="2016-06-20T00:00:00"/>
    <x v="0"/>
    <x v="1"/>
    <x v="139"/>
    <x v="0"/>
    <s v="Jeff Goldblum"/>
    <s v="Bill Pullman"/>
    <s v="Sela Ward"/>
    <s v="Liam Hemsworth"/>
    <s v="Vivica A. Fox"/>
    <x v="86"/>
    <n v="382300000"/>
    <n v="217300000"/>
    <x v="147"/>
    <x v="2"/>
  </r>
  <r>
    <x v="153"/>
    <d v="2013-09-13T00:00:00"/>
    <x v="1"/>
    <x v="7"/>
    <x v="140"/>
    <x v="0"/>
    <s v="Patrick Wilson"/>
    <s v="Rose Byrne"/>
    <s v="Lin Shaye"/>
    <s v="Ty Simpkins"/>
    <s v=""/>
    <x v="8"/>
    <n v="161900000"/>
    <n v="156900000"/>
    <x v="148"/>
    <x v="0"/>
  </r>
  <r>
    <x v="154"/>
    <d v="2015-06-05T00:00:00"/>
    <x v="4"/>
    <x v="7"/>
    <x v="141"/>
    <x v="0"/>
    <s v="Dermot Mulroney"/>
    <s v="Stefanie Scott"/>
    <s v="Angus Sampson"/>
    <s v="Leigh Whannell"/>
    <s v="Lin Shaye"/>
    <x v="40"/>
    <n v="113000000"/>
    <n v="102000000"/>
    <x v="149"/>
    <x v="0"/>
  </r>
  <r>
    <x v="155"/>
    <d v="2014-10-26T00:00:00"/>
    <x v="3"/>
    <x v="8"/>
    <x v="142"/>
    <x v="0"/>
    <s v="Matthew McConaughey"/>
    <s v="Anne Hathaway"/>
    <s v="Michael Caine"/>
    <s v="Jessica Chastain"/>
    <s v="Matt Damon"/>
    <x v="86"/>
    <n v="675100000"/>
    <n v="510100000"/>
    <x v="150"/>
    <x v="0"/>
  </r>
  <r>
    <x v="156"/>
    <d v="2014-08-08T00:00:00"/>
    <x v="3"/>
    <x v="6"/>
    <x v="143"/>
    <x v="0"/>
    <s v="Richard Armitage"/>
    <s v="Jeremy Sumpter"/>
    <s v="Sarah Wayne Callies"/>
    <s v="Nathan Kress"/>
    <s v=""/>
    <x v="21"/>
    <n v="161700000"/>
    <n v="111700000"/>
    <x v="151"/>
    <x v="2"/>
  </r>
  <r>
    <x v="157"/>
    <d v="2012-07-25T00:00:00"/>
    <x v="2"/>
    <x v="2"/>
    <x v="144"/>
    <x v="0"/>
    <s v="Julia Dietze"/>
    <s v="Peta Sergeant"/>
    <s v="Gotz Otto"/>
    <s v="Chris Kirby"/>
    <s v="Udo Kier"/>
    <x v="87"/>
    <n v="8100000"/>
    <n v="600000"/>
    <x v="152"/>
    <x v="1"/>
  </r>
  <r>
    <x v="158"/>
    <d v="2015-05-16T00:00:00"/>
    <x v="4"/>
    <x v="12"/>
    <x v="45"/>
    <x v="0"/>
    <s v="Joaquin Phoenix"/>
    <s v="Emma Stone"/>
    <s v="Parker Posey"/>
    <s v="Jamie Blackley"/>
    <s v=""/>
    <x v="40"/>
    <n v="27400000"/>
    <n v="16400000"/>
    <x v="153"/>
    <x v="2"/>
  </r>
  <r>
    <x v="159"/>
    <d v="2012-12-21T00:00:00"/>
    <x v="2"/>
    <x v="1"/>
    <x v="145"/>
    <x v="0"/>
    <s v="Tom Cruise"/>
    <s v="Rosamund Pike"/>
    <s v="David Oyelowo"/>
    <s v="Richard Jenkins"/>
    <s v="Alexia Fast"/>
    <x v="31"/>
    <n v="218300000"/>
    <n v="158300000"/>
    <x v="154"/>
    <x v="2"/>
  </r>
  <r>
    <x v="160"/>
    <d v="2014-01-15T00:00:00"/>
    <x v="3"/>
    <x v="1"/>
    <x v="146"/>
    <x v="0"/>
    <s v="David Koepp"/>
    <s v="Adam Cozad"/>
    <s v="Anthony Peckham"/>
    <s v="Steve Zaillian"/>
    <s v="Chris Pine"/>
    <x v="31"/>
    <n v="135500000"/>
    <n v="75500000"/>
    <x v="155"/>
    <x v="2"/>
  </r>
  <r>
    <x v="161"/>
    <d v="2016-01-29T00:00:00"/>
    <x v="0"/>
    <x v="1"/>
    <x v="147"/>
    <x v="0"/>
    <s v="Natalie Portman"/>
    <s v="Joel Edgerton"/>
    <s v="Ewan McGregor"/>
    <s v="Rodrigo Santoro"/>
    <s v="Noah Emmerich"/>
    <x v="61"/>
    <n v="3000000"/>
    <n v="-22000000"/>
    <x v="156"/>
    <x v="3"/>
  </r>
  <r>
    <x v="162"/>
    <d v="2016-07-29T00:00:00"/>
    <x v="0"/>
    <x v="1"/>
    <x v="148"/>
    <x v="0"/>
    <s v="Matt Damon"/>
    <s v="Julia Stiles"/>
    <s v="Alicia Vikander"/>
    <s v="Riz Ahmed"/>
    <s v="Vincent Cassel"/>
    <x v="69"/>
    <n v="347900000"/>
    <n v="227900000"/>
    <x v="157"/>
    <x v="2"/>
  </r>
  <r>
    <x v="163"/>
    <d v="2012-03-16T00:00:00"/>
    <x v="2"/>
    <x v="2"/>
    <x v="149"/>
    <x v="0"/>
    <s v="Jason Segel"/>
    <s v="Ed Helms"/>
    <s v="Judy Greer"/>
    <s v="Susan Sarandon"/>
    <s v="Evan Ross"/>
    <x v="87"/>
    <n v="7500000"/>
    <n v="0"/>
    <x v="32"/>
    <x v="1"/>
  </r>
  <r>
    <x v="164"/>
    <d v="2015-10-23T00:00:00"/>
    <x v="4"/>
    <x v="10"/>
    <x v="150"/>
    <x v="0"/>
    <s v="Aubrey Peeples"/>
    <s v="Stefanie Scott"/>
    <s v="Hayley Kiyoko"/>
    <s v="Aurora Perrineau"/>
    <s v="Ryan Guzman"/>
    <x v="8"/>
    <n v="2300000"/>
    <n v="-2700000"/>
    <x v="158"/>
    <x v="3"/>
  </r>
  <r>
    <x v="165"/>
    <d v="2014-06-05T00:00:00"/>
    <x v="3"/>
    <x v="4"/>
    <x v="23"/>
    <x v="0"/>
    <s v="John Lloyd Young"/>
    <s v="Erec Bergen"/>
    <s v="Vincent Piazza"/>
    <s v="Michael Lamenda"/>
    <s v="Christopher Walken"/>
    <x v="88"/>
    <n v="67700000"/>
    <n v="9100000"/>
    <x v="159"/>
    <x v="1"/>
  </r>
  <r>
    <x v="166"/>
    <d v="2013-08-16T00:00:00"/>
    <x v="1"/>
    <x v="3"/>
    <x v="151"/>
    <x v="0"/>
    <s v="Ashton Kutcher"/>
    <s v="Dermot Mulroney"/>
    <s v="Josh Gad"/>
    <s v="Lukas Haas"/>
    <s v="J.K. Simmons"/>
    <x v="46"/>
    <n v="35900000"/>
    <n v="23900000"/>
    <x v="160"/>
    <x v="2"/>
  </r>
  <r>
    <x v="167"/>
    <d v="2014-10-13T00:00:00"/>
    <x v="3"/>
    <x v="1"/>
    <x v="152"/>
    <x v="18"/>
    <s v="Keanu Reeves"/>
    <s v="Bridget Moynahan"/>
    <s v="Willem Dafoe"/>
    <s v=""/>
    <s v=""/>
    <x v="13"/>
    <n v="86000000"/>
    <n v="66000000"/>
    <x v="161"/>
    <x v="0"/>
  </r>
  <r>
    <x v="168"/>
    <d v="2012-02-10T00:00:00"/>
    <x v="2"/>
    <x v="6"/>
    <x v="153"/>
    <x v="0"/>
    <s v="Dwayne Johnson"/>
    <s v="Michael Caine"/>
    <s v="Josh Hutcherson"/>
    <s v="Vanessa Hudgens"/>
    <s v="Luis Guzmán"/>
    <x v="89"/>
    <n v="335300000"/>
    <n v="256300000"/>
    <x v="162"/>
    <x v="0"/>
  </r>
  <r>
    <x v="169"/>
    <d v="2015-12-25T00:00:00"/>
    <x v="4"/>
    <x v="2"/>
    <x v="154"/>
    <x v="0"/>
    <s v="Jennifer Lawrence"/>
    <s v="Robert De Niro"/>
    <s v="Bradley Cooper"/>
    <s v="Édgar Ramírez"/>
    <s v=""/>
    <x v="31"/>
    <n v="101100000"/>
    <n v="41100000"/>
    <x v="163"/>
    <x v="1"/>
  </r>
  <r>
    <x v="170"/>
    <d v="2016-04-29T00:00:00"/>
    <x v="0"/>
    <x v="2"/>
    <x v="155"/>
    <x v="0"/>
    <s v="Keegan-Michael Key"/>
    <s v="Jordan Peele"/>
    <s v="Method Man"/>
    <s v="Gabrielle Union"/>
    <s v="Will Forte"/>
    <x v="0"/>
    <n v="20700000"/>
    <n v="5700000"/>
    <x v="164"/>
    <x v="1"/>
  </r>
  <r>
    <x v="171"/>
    <d v="2014-10-10T00:00:00"/>
    <x v="3"/>
    <x v="5"/>
    <x v="156"/>
    <x v="0"/>
    <s v="Jeremy Renner"/>
    <s v="Barry Pepper"/>
    <s v="Mary Elizabeth Winstead"/>
    <s v="Rosemarie DeWitt"/>
    <s v="Ray Liotta"/>
    <x v="8"/>
    <n v="2500000"/>
    <n v="-2500000"/>
    <x v="165"/>
    <x v="3"/>
  </r>
  <r>
    <x v="172"/>
    <d v="2012-11-30T00:00:00"/>
    <x v="2"/>
    <x v="5"/>
    <x v="157"/>
    <x v="0"/>
    <s v="Brad Pitt"/>
    <s v="Vincent Curatola"/>
    <s v="Scoot McNairy"/>
    <s v="Ben Mendelsohn"/>
    <s v="Ray Liotta"/>
    <x v="0"/>
    <n v="37900000"/>
    <n v="22900000"/>
    <x v="166"/>
    <x v="2"/>
  </r>
  <r>
    <x v="173"/>
    <d v="2014-12-13T00:00:00"/>
    <x v="3"/>
    <x v="1"/>
    <x v="158"/>
    <x v="0"/>
    <s v="Colin Firth"/>
    <s v="Taron Egerton"/>
    <s v="Samuel L. Jackson"/>
    <s v="Mark Strong"/>
    <s v="Michael Caine"/>
    <x v="90"/>
    <n v="414400000"/>
    <n v="320400000"/>
    <x v="167"/>
    <x v="0"/>
  </r>
  <r>
    <x v="174"/>
    <d v="2015-12-04T00:00:00"/>
    <x v="4"/>
    <x v="7"/>
    <x v="159"/>
    <x v="0"/>
    <s v="Emjay Anthony"/>
    <s v="Allison Tolman"/>
    <s v="Adam Scott"/>
    <s v=""/>
    <s v=""/>
    <x v="0"/>
    <n v="61500000"/>
    <n v="46500000"/>
    <x v="168"/>
    <x v="0"/>
  </r>
  <r>
    <x v="175"/>
    <d v="2016-08-19T00:00:00"/>
    <x v="0"/>
    <x v="11"/>
    <x v="160"/>
    <x v="0"/>
    <s v="Art Parkinson"/>
    <s v="Matthew McConaughey"/>
    <s v="Rooney Mara"/>
    <s v="Charlize Theron"/>
    <s v="Ralph Fiennes"/>
    <x v="31"/>
    <n v="27600000"/>
    <n v="-32400000"/>
    <x v="158"/>
    <x v="3"/>
  </r>
  <r>
    <x v="176"/>
    <d v="2016-01-23T00:00:00"/>
    <x v="0"/>
    <x v="1"/>
    <x v="161"/>
    <x v="19"/>
    <s v="Jack Black"/>
    <s v="Angelina Jolie"/>
    <s v="Dustin Hoffman"/>
    <s v="Jackie Chan"/>
    <s v="Seth Rogen"/>
    <x v="83"/>
    <n v="519900000"/>
    <n v="374900000"/>
    <x v="169"/>
    <x v="2"/>
  </r>
  <r>
    <x v="177"/>
    <d v="2016-01-27T00:00:00"/>
    <x v="0"/>
    <x v="8"/>
    <x v="162"/>
    <x v="0"/>
    <s v="Burnie Burns"/>
    <s v="Gavin Free"/>
    <s v="Michael Jones"/>
    <s v="Colton Dunn"/>
    <s v="Allie DeBerry"/>
    <x v="91"/>
    <n v="1600000"/>
    <n v="-800000"/>
    <x v="170"/>
    <x v="3"/>
  </r>
  <r>
    <x v="178"/>
    <d v="2014-10-03T00:00:00"/>
    <x v="3"/>
    <x v="14"/>
    <x v="163"/>
    <x v="0"/>
    <s v="Nicolas Cage"/>
    <s v="Chad Michael Murray"/>
    <s v="Cassi Thomson"/>
    <s v="Nicky Whelan"/>
    <s v="Jordin Sparks"/>
    <x v="92"/>
    <n v="27600000"/>
    <n v="11600000"/>
    <x v="171"/>
    <x v="1"/>
  </r>
  <r>
    <x v="179"/>
    <d v="2012-12-25T00:00:00"/>
    <x v="2"/>
    <x v="10"/>
    <x v="164"/>
    <x v="0"/>
    <s v="Hugh Jackman"/>
    <s v="Russell Crowe"/>
    <s v="Eddie Redmayne"/>
    <s v="Colm Wilkinson"/>
    <s v="Anne Hathaway"/>
    <x v="2"/>
    <n v="441800000"/>
    <n v="380800000"/>
    <x v="172"/>
    <x v="0"/>
  </r>
  <r>
    <x v="180"/>
    <d v="2014-08-13T00:00:00"/>
    <x v="3"/>
    <x v="1"/>
    <x v="165"/>
    <x v="0"/>
    <s v="Jake Johnson"/>
    <s v="Damon Wayans"/>
    <s v="Jr."/>
    <s v=""/>
    <s v=""/>
    <x v="68"/>
    <n v="138200000"/>
    <n v="121200000"/>
    <x v="173"/>
    <x v="0"/>
  </r>
  <r>
    <x v="181"/>
    <d v="2012-11-21T00:00:00"/>
    <x v="2"/>
    <x v="4"/>
    <x v="166"/>
    <x v="0"/>
    <s v="Suraj Sharma"/>
    <s v="Ayush Tandon"/>
    <s v="Irrfan Khan"/>
    <s v="Gérard Depardieu"/>
    <s v=""/>
    <x v="69"/>
    <n v="609000000"/>
    <n v="489000000"/>
    <x v="174"/>
    <x v="0"/>
  </r>
  <r>
    <x v="182"/>
    <d v="2016-07-22T00:00:00"/>
    <x v="0"/>
    <x v="7"/>
    <x v="167"/>
    <x v="0"/>
    <s v="Teresa Palmer"/>
    <s v="Gabriel Bateman"/>
    <s v="Alexander DiPersia"/>
    <s v=""/>
    <s v=""/>
    <x v="93"/>
    <n v="125900000"/>
    <n v="121000000"/>
    <x v="175"/>
    <x v="0"/>
  </r>
  <r>
    <x v="183"/>
    <d v="2012-11-09T00:00:00"/>
    <x v="2"/>
    <x v="4"/>
    <x v="48"/>
    <x v="0"/>
    <s v="Daniel Day-Lewis"/>
    <s v="David Strathairn"/>
    <s v="Hal Holbrook"/>
    <s v="Sally Field"/>
    <s v="Joseph Gordon-Levitt"/>
    <x v="25"/>
    <n v="275300000"/>
    <n v="210300000"/>
    <x v="176"/>
    <x v="0"/>
  </r>
  <r>
    <x v="184"/>
    <d v="2015-04-24T00:00:00"/>
    <x v="4"/>
    <x v="4"/>
    <x v="168"/>
    <x v="0"/>
    <s v="Jakob Salvati"/>
    <s v="David Henrie"/>
    <s v="Kevin James"/>
    <s v="Emily Watson"/>
    <s v="Ted Levine"/>
    <x v="13"/>
    <n v="17500000"/>
    <n v="-2500000"/>
    <x v="177"/>
    <x v="3"/>
  </r>
  <r>
    <x v="185"/>
    <d v="2012-04-13T00:00:00"/>
    <x v="2"/>
    <x v="1"/>
    <x v="169"/>
    <x v="20"/>
    <s v="Guy Pearce"/>
    <s v="Maggie Grace"/>
    <s v="Peter Stormare"/>
    <s v="Lennie James"/>
    <s v="Vincent Regan"/>
    <x v="13"/>
    <n v="32200000"/>
    <n v="12200000"/>
    <x v="178"/>
    <x v="1"/>
  </r>
  <r>
    <x v="186"/>
    <d v="2016-03-04T00:00:00"/>
    <x v="0"/>
    <x v="1"/>
    <x v="170"/>
    <x v="0"/>
    <s v="Gerard Butler"/>
    <s v="Aaron Eckhart"/>
    <s v="Morgan Freeman"/>
    <s v="Angela Bassett"/>
    <s v="Alon Aboutboul"/>
    <x v="31"/>
    <n v="195700000"/>
    <n v="135700000"/>
    <x v="179"/>
    <x v="2"/>
  </r>
  <r>
    <x v="187"/>
    <d v="2012-09-28T00:00:00"/>
    <x v="2"/>
    <x v="1"/>
    <x v="171"/>
    <x v="0"/>
    <s v="Joseph Gordon-Levitt"/>
    <s v="Bruce Willis"/>
    <s v="Emily Blunt"/>
    <s v="Paul Dano"/>
    <s v="Noah Segan"/>
    <x v="54"/>
    <n v="176500000"/>
    <n v="146500000"/>
    <x v="180"/>
    <x v="0"/>
  </r>
  <r>
    <x v="188"/>
    <d v="2015-11-04T00:00:00"/>
    <x v="4"/>
    <x v="9"/>
    <x v="172"/>
    <x v="0"/>
    <s v="John Goodman"/>
    <s v="Diane Keaton"/>
    <s v="Amanda Seyfried"/>
    <s v="Alan Arkin"/>
    <s v="Olivia Wilde"/>
    <x v="94"/>
    <n v="41100000"/>
    <n v="17100000"/>
    <x v="181"/>
    <x v="1"/>
  </r>
  <r>
    <x v="189"/>
    <d v="2014-07-25T00:00:00"/>
    <x v="3"/>
    <x v="8"/>
    <x v="173"/>
    <x v="0"/>
    <s v="Scarlett Johansson"/>
    <s v="Morgan Freeman"/>
    <s v="Choi Min-sik"/>
    <s v=""/>
    <s v=""/>
    <x v="6"/>
    <n v="463400000"/>
    <n v="423400000"/>
    <x v="182"/>
    <x v="0"/>
  </r>
  <r>
    <x v="190"/>
    <d v="2015-05-07T00:00:00"/>
    <x v="4"/>
    <x v="1"/>
    <x v="174"/>
    <x v="0"/>
    <s v="Tom Hardy"/>
    <s v="Charlize Theron"/>
    <s v="Hugh Keays-Byrne"/>
    <s v="Nicholas Hoult"/>
    <s v="Rosie Huntington-Whiteley"/>
    <x v="52"/>
    <n v="378400000"/>
    <n v="228400000"/>
    <x v="183"/>
    <x v="2"/>
  </r>
  <r>
    <x v="191"/>
    <d v="2012-06-08T00:00:00"/>
    <x v="2"/>
    <x v="2"/>
    <x v="175"/>
    <x v="0"/>
    <s v="Noah Baumbach(screenplay); Ben Stiller"/>
    <s v="Chris Rock"/>
    <s v="David Schwimmer"/>
    <s v="Jada Pinkett Smith"/>
    <s v="Sacha Baron Cohen"/>
    <x v="83"/>
    <n v="746900000"/>
    <n v="601900000"/>
    <x v="184"/>
    <x v="0"/>
  </r>
  <r>
    <x v="192"/>
    <d v="2014-07-25T00:00:00"/>
    <x v="3"/>
    <x v="2"/>
    <x v="45"/>
    <x v="0"/>
    <s v="Emma Stone"/>
    <s v="Colin Firth"/>
    <s v="Hamish Linklater"/>
    <s v="Marcia Gay Harden"/>
    <s v="Jacki Weaver"/>
    <x v="95"/>
    <n v="51000000"/>
    <n v="34200000"/>
    <x v="185"/>
    <x v="2"/>
  </r>
  <r>
    <x v="193"/>
    <d v="2013-01-18T00:00:00"/>
    <x v="1"/>
    <x v="7"/>
    <x v="176"/>
    <x v="0"/>
    <s v="Jessica Chastain"/>
    <s v="Nikolaj Coster-Waldau"/>
    <s v="Daniel Kash"/>
    <s v="David Fox"/>
    <s v=""/>
    <x v="0"/>
    <n v="146400000"/>
    <n v="131400000"/>
    <x v="186"/>
    <x v="0"/>
  </r>
  <r>
    <x v="194"/>
    <d v="2013-06-14T00:00:00"/>
    <x v="1"/>
    <x v="1"/>
    <x v="33"/>
    <x v="0"/>
    <s v="Henry Cavill"/>
    <s v="Amy Adams"/>
    <s v="Michael Shannon"/>
    <s v="Kevin Costner"/>
    <s v="Diane Lane"/>
    <x v="96"/>
    <n v="668000000"/>
    <n v="443000000"/>
    <x v="187"/>
    <x v="2"/>
  </r>
  <r>
    <x v="195"/>
    <d v="2012-01-27T00:00:00"/>
    <x v="2"/>
    <x v="1"/>
    <x v="177"/>
    <x v="0"/>
    <s v="Sam Worthington"/>
    <s v="Ed Harris"/>
    <s v="Elizabeth Banks"/>
    <s v="Jamie Bell"/>
    <s v="Kyra Sedgwick"/>
    <x v="81"/>
    <n v="46200000"/>
    <n v="4200000"/>
    <x v="188"/>
    <x v="1"/>
  </r>
  <r>
    <x v="196"/>
    <d v="2015-06-26T00:00:00"/>
    <x v="4"/>
    <x v="6"/>
    <x v="178"/>
    <x v="0"/>
    <s v="Josh Wiggins"/>
    <s v="Thomas Haden Church"/>
    <s v="Lauren Graham"/>
    <s v=""/>
    <s v=""/>
    <x v="13"/>
    <n v="44000000"/>
    <n v="24000000"/>
    <x v="189"/>
    <x v="2"/>
  </r>
  <r>
    <x v="197"/>
    <d v="2015-09-18T00:00:00"/>
    <x v="4"/>
    <x v="8"/>
    <x v="179"/>
    <x v="0"/>
    <s v="Dylan O'Brien"/>
    <s v="Ki Hong Lee"/>
    <s v="Thomas Sangster"/>
    <s v="Kaya Scodelario"/>
    <s v="Patricia Clarkson"/>
    <x v="2"/>
    <n v="312300000"/>
    <n v="251300000"/>
    <x v="190"/>
    <x v="0"/>
  </r>
  <r>
    <x v="198"/>
    <d v="2015-01-25T00:00:00"/>
    <x v="4"/>
    <x v="2"/>
    <x v="180"/>
    <x v="0"/>
    <s v="Thomas Mann"/>
    <s v="Olivia Cooke"/>
    <s v="Ronald Cyler II"/>
    <s v="Jon Bernthal"/>
    <s v="Nick Offerman"/>
    <x v="15"/>
    <n v="9100000"/>
    <n v="1100000"/>
    <x v="191"/>
    <x v="1"/>
  </r>
  <r>
    <x v="199"/>
    <d v="2016-06-03T00:00:00"/>
    <x v="0"/>
    <x v="4"/>
    <x v="181"/>
    <x v="0"/>
    <s v="Emilia Clarke"/>
    <s v="Sam Claflin"/>
    <s v="Charles Dance"/>
    <s v="Jenna Coleman"/>
    <s v="Janet McTeer"/>
    <x v="13"/>
    <n v="196200000"/>
    <n v="176200000"/>
    <x v="192"/>
    <x v="0"/>
  </r>
  <r>
    <x v="200"/>
    <d v="2016-08-26T00:00:00"/>
    <x v="0"/>
    <x v="1"/>
    <x v="182"/>
    <x v="0"/>
    <s v="Jason Statham"/>
    <s v="Jessica Alba"/>
    <s v="Tommy Lee Jones"/>
    <s v="Michelle Yeoh"/>
    <s v=""/>
    <x v="6"/>
    <n v="7500000"/>
    <n v="-32500000"/>
    <x v="193"/>
    <x v="3"/>
  </r>
  <r>
    <x v="201"/>
    <d v="2012-05-25T00:00:00"/>
    <x v="2"/>
    <x v="2"/>
    <x v="183"/>
    <x v="0"/>
    <s v="Will Smith"/>
    <s v="Tommy Lee Jones"/>
    <s v="Josh Brolin"/>
    <s v="Jemaine Clement"/>
    <s v="Emma Thompson"/>
    <x v="97"/>
    <n v="624000000"/>
    <n v="409000000"/>
    <x v="194"/>
    <x v="2"/>
  </r>
  <r>
    <x v="202"/>
    <d v="2016-02-12T00:00:00"/>
    <x v="0"/>
    <x v="8"/>
    <x v="184"/>
    <x v="0"/>
    <s v="Michael Shannon"/>
    <s v="Kirsten Dunst"/>
    <s v="Adam Driver"/>
    <s v="Joel Edgerton"/>
    <s v="Sam Shepard"/>
    <x v="38"/>
    <n v="6200000"/>
    <n v="-11800000"/>
    <x v="195"/>
    <x v="3"/>
  </r>
  <r>
    <x v="203"/>
    <d v="2016-03-16T00:00:00"/>
    <x v="0"/>
    <x v="4"/>
    <x v="185"/>
    <x v="0"/>
    <s v="Jennifer Garner"/>
    <s v="Martin Henderson"/>
    <s v="Queen Latifah"/>
    <s v=""/>
    <s v=""/>
    <x v="62"/>
    <n v="73600000"/>
    <n v="60600000"/>
    <x v="196"/>
    <x v="0"/>
  </r>
  <r>
    <x v="204"/>
    <d v="2012-03-30T00:00:00"/>
    <x v="2"/>
    <x v="11"/>
    <x v="186"/>
    <x v="0"/>
    <s v="Lily Collins"/>
    <s v="Julia Roberts"/>
    <s v="Armie Hammer"/>
    <s v="Nathan Lane"/>
    <s v="Robert Emms"/>
    <x v="58"/>
    <n v="183000000"/>
    <n v="98000000"/>
    <x v="197"/>
    <x v="2"/>
  </r>
  <r>
    <x v="205"/>
    <d v="2015-07-23T00:00:00"/>
    <x v="4"/>
    <x v="1"/>
    <x v="145"/>
    <x v="0"/>
    <s v="Tom Cruise"/>
    <s v="Jeremy Renner"/>
    <s v="Simon Pegg"/>
    <s v="Ving Rhames"/>
    <s v="Rebecca Ferguson"/>
    <x v="52"/>
    <n v="682300000"/>
    <n v="532300000"/>
    <x v="198"/>
    <x v="0"/>
  </r>
  <r>
    <x v="206"/>
    <d v="2014-05-09T00:00:00"/>
    <x v="3"/>
    <x v="14"/>
    <x v="187"/>
    <x v="0"/>
    <s v="Sarah Drew"/>
    <s v="Trace Adkins"/>
    <s v="Sean Astin"/>
    <s v="Patricia Heaton"/>
    <s v=""/>
    <x v="8"/>
    <n v="10500000"/>
    <n v="5500000"/>
    <x v="16"/>
    <x v="2"/>
  </r>
  <r>
    <x v="207"/>
    <d v="2016-05-13T00:00:00"/>
    <x v="0"/>
    <x v="4"/>
    <x v="188"/>
    <x v="0"/>
    <s v="George Clooney"/>
    <s v="Julia Roberts"/>
    <s v="Jack O'Connell"/>
    <s v="Dominic West"/>
    <s v="Caitriona Balfe"/>
    <x v="98"/>
    <n v="93100000"/>
    <n v="66100000"/>
    <x v="199"/>
    <x v="2"/>
  </r>
  <r>
    <x v="208"/>
    <d v="2016-01-22T00:00:00"/>
    <x v="0"/>
    <x v="1"/>
    <x v="189"/>
    <x v="0"/>
    <s v="Bai Baihe"/>
    <s v="Jing Boran"/>
    <s v="Jiang Wu"/>
    <s v="Elaine Jin"/>
    <s v=""/>
    <x v="99"/>
    <n v="385200000"/>
    <n v="329200000"/>
    <x v="200"/>
    <x v="0"/>
  </r>
  <r>
    <x v="209"/>
    <d v="2012-05-25T00:00:00"/>
    <x v="2"/>
    <x v="2"/>
    <x v="190"/>
    <x v="0"/>
    <s v="Jared Gilman"/>
    <s v="Kara Hayward"/>
    <s v="Bruce Willis"/>
    <s v="Edward Norton"/>
    <s v="Bill Murray"/>
    <x v="92"/>
    <n v="68300000"/>
    <n v="52300000"/>
    <x v="201"/>
    <x v="0"/>
  </r>
  <r>
    <x v="210"/>
    <d v="2015-01-23T00:00:00"/>
    <x v="4"/>
    <x v="1"/>
    <x v="191"/>
    <x v="0"/>
    <s v="Johnny Depp"/>
    <s v="Ewan McGregor"/>
    <s v="Olivia Munn"/>
    <s v="Aubrey Plaza"/>
    <s v="Oliver Platt"/>
    <x v="31"/>
    <n v="47000000"/>
    <n v="-13000000"/>
    <x v="202"/>
    <x v="3"/>
  </r>
  <r>
    <x v="211"/>
    <d v="2016-04-13T00:00:00"/>
    <x v="0"/>
    <x v="2"/>
    <x v="192"/>
    <x v="0"/>
    <s v="Jennifer Aniston"/>
    <s v="Julia Roberts"/>
    <s v="Kate Hudson"/>
    <s v="Timothy Olyphant"/>
    <s v="Jason Sudeikis"/>
    <x v="61"/>
    <n v="43800000"/>
    <n v="18800000"/>
    <x v="203"/>
    <x v="1"/>
  </r>
  <r>
    <x v="212"/>
    <d v="2014-02-07T00:00:00"/>
    <x v="3"/>
    <x v="13"/>
    <x v="193"/>
    <x v="0"/>
    <s v="Ty Burrell"/>
    <s v="Max Charles"/>
    <s v="Stephen Colbert"/>
    <s v="Allison Janney"/>
    <s v="Ariel Winter"/>
    <x v="83"/>
    <n v="275700000"/>
    <n v="130700000"/>
    <x v="204"/>
    <x v="1"/>
  </r>
  <r>
    <x v="213"/>
    <d v="2013-04-26T00:00:00"/>
    <x v="1"/>
    <x v="4"/>
    <x v="184"/>
    <x v="0"/>
    <s v="Matthew McConaughey"/>
    <s v="Reese Witherspoon"/>
    <s v="Michael Shannon"/>
    <s v="Sarah Paulson"/>
    <s v="Sam Shepard"/>
    <x v="35"/>
    <n v="32600000"/>
    <n v="22600000"/>
    <x v="205"/>
    <x v="2"/>
  </r>
  <r>
    <x v="214"/>
    <d v="2015-05-19T00:00:00"/>
    <x v="4"/>
    <x v="4"/>
    <x v="194"/>
    <x v="0"/>
    <s v="Güneş Şensoy"/>
    <s v=""/>
    <s v=""/>
    <s v=""/>
    <s v=""/>
    <x v="100"/>
    <n v="4900000"/>
    <n v="3600000"/>
    <x v="206"/>
    <x v="2"/>
  </r>
  <r>
    <x v="215"/>
    <d v="2015-11-13T00:00:00"/>
    <x v="4"/>
    <x v="3"/>
    <x v="195"/>
    <x v="0"/>
    <s v="Aaron Eckhart"/>
    <s v="Finn Wittrock"/>
    <s v="Robin Tunney"/>
    <s v="Sarah Bolger"/>
    <s v="Michael Reilly Burke"/>
    <x v="13"/>
    <n v="2200000"/>
    <n v="-17800000"/>
    <x v="207"/>
    <x v="3"/>
  </r>
  <r>
    <x v="216"/>
    <d v="2016-03-25T00:00:00"/>
    <x v="0"/>
    <x v="9"/>
    <x v="196"/>
    <x v="0"/>
    <s v="Nia Vardalos"/>
    <s v="John Corbett"/>
    <s v="Ian Gomez"/>
    <s v="Elena Kampouris"/>
    <s v=""/>
    <x v="38"/>
    <n v="88900000"/>
    <n v="70900000"/>
    <x v="208"/>
    <x v="0"/>
  </r>
  <r>
    <x v="217"/>
    <d v="2014-03-12T00:00:00"/>
    <x v="3"/>
    <x v="1"/>
    <x v="197"/>
    <x v="0"/>
    <s v="Aaron Paul"/>
    <s v="Imogen Poots"/>
    <s v="Dominic Cooper"/>
    <s v="Michael Keaton"/>
    <s v="Ramón Rodríguez"/>
    <x v="25"/>
    <n v="203300000"/>
    <n v="138300000"/>
    <x v="209"/>
    <x v="2"/>
  </r>
  <r>
    <x v="218"/>
    <d v="2014-03-08T00:00:00"/>
    <x v="3"/>
    <x v="2"/>
    <x v="198"/>
    <x v="0"/>
    <s v="Seth Rogen"/>
    <s v="Zac Efron"/>
    <s v="Rose Byrne"/>
    <s v="Christopher Mintz-Plasse"/>
    <s v="Dave Franco"/>
    <x v="38"/>
    <n v="270700000"/>
    <n v="252700000"/>
    <x v="210"/>
    <x v="0"/>
  </r>
  <r>
    <x v="219"/>
    <d v="2016-05-20T00:00:00"/>
    <x v="0"/>
    <x v="2"/>
    <x v="198"/>
    <x v="0"/>
    <s v="Seth Rogen"/>
    <s v="Zac Efron"/>
    <s v="Rose Byrne"/>
    <s v="Chloë Grace Moretz"/>
    <s v="Dave Franco"/>
    <x v="18"/>
    <n v="107900000"/>
    <n v="72900000"/>
    <x v="211"/>
    <x v="2"/>
  </r>
  <r>
    <x v="220"/>
    <d v="2016-07-27T00:00:00"/>
    <x v="0"/>
    <x v="0"/>
    <x v="199"/>
    <x v="21"/>
    <s v="Dave Franco"/>
    <s v="Emma Roberts"/>
    <s v="Emily Meade"/>
    <s v="Kimiko Glenn"/>
    <s v="Juliette Lewis"/>
    <x v="13"/>
    <n v="47600000"/>
    <n v="27600000"/>
    <x v="212"/>
    <x v="2"/>
  </r>
  <r>
    <x v="221"/>
    <d v="2014-12-11T00:00:00"/>
    <x v="3"/>
    <x v="2"/>
    <x v="200"/>
    <x v="0"/>
    <s v="Ben Stiller"/>
    <s v="Robin Williams"/>
    <s v="Dan Stevens"/>
    <s v="Owen Wilson"/>
    <s v="Ricky Gervais"/>
    <x v="101"/>
    <n v="363200000"/>
    <n v="236200000"/>
    <x v="213"/>
    <x v="2"/>
  </r>
  <r>
    <x v="222"/>
    <d v="2014-09-05T00:00:00"/>
    <x v="3"/>
    <x v="4"/>
    <x v="201"/>
    <x v="0"/>
    <s v="Jake Gyllenhaal"/>
    <s v="Bill Paxton"/>
    <s v="Rene Russo"/>
    <s v="Riz Ahmed"/>
    <s v=""/>
    <x v="102"/>
    <n v="50300000"/>
    <n v="41800000"/>
    <x v="214"/>
    <x v="0"/>
  </r>
  <r>
    <x v="223"/>
    <d v="2016-08-05T00:00:00"/>
    <x v="0"/>
    <x v="2"/>
    <x v="183"/>
    <x v="0"/>
    <s v="Kevin Spacey"/>
    <s v="Robbie Amell"/>
    <s v="Jennifer Garner"/>
    <s v="Christopher Walken"/>
    <s v="Malina Weissman"/>
    <x v="54"/>
    <n v="19100000"/>
    <n v="-10900000"/>
    <x v="215"/>
    <x v="3"/>
  </r>
  <r>
    <x v="224"/>
    <d v="2015-08-17T00:00:00"/>
    <x v="4"/>
    <x v="1"/>
    <x v="30"/>
    <x v="0"/>
    <s v="Owen Wilson"/>
    <s v="Pierce Brosnan"/>
    <s v="Lake Bell"/>
    <s v=""/>
    <s v=""/>
    <x v="8"/>
    <n v="54400000"/>
    <n v="49400000"/>
    <x v="216"/>
    <x v="0"/>
  </r>
  <r>
    <x v="225"/>
    <d v="2014-09-12T00:00:00"/>
    <x v="3"/>
    <x v="5"/>
    <x v="202"/>
    <x v="0"/>
    <s v="Idris Elba"/>
    <s v="Taraji P. Henson"/>
    <s v="Henry Simmons"/>
    <s v=""/>
    <s v=""/>
    <x v="103"/>
    <n v="54300000"/>
    <n v="41100000"/>
    <x v="217"/>
    <x v="0"/>
  </r>
  <r>
    <x v="226"/>
    <d v="2013-05-10T00:00:00"/>
    <x v="1"/>
    <x v="7"/>
    <x v="203"/>
    <x v="0"/>
    <s v="Luke Evans"/>
    <s v="Adelaide Clemens"/>
    <s v="America Olivo"/>
    <s v="Derek Magyar"/>
    <s v="Lindsey Shaw"/>
    <x v="104"/>
    <n v="1000000"/>
    <n v="-1900000"/>
    <x v="218"/>
    <x v="3"/>
  </r>
  <r>
    <x v="227"/>
    <d v="2014-03-10T00:00:00"/>
    <x v="3"/>
    <x v="6"/>
    <x v="204"/>
    <x v="0"/>
    <s v="Russell Crowe"/>
    <s v="Jennifer Connelly"/>
    <s v="Logan Lerman"/>
    <s v="Emma Watson"/>
    <s v="Ray Winstone"/>
    <x v="105"/>
    <n v="362600000"/>
    <n v="237600000"/>
    <x v="219"/>
    <x v="2"/>
  </r>
  <r>
    <x v="228"/>
    <d v="2014-01-27T00:00:00"/>
    <x v="3"/>
    <x v="0"/>
    <x v="205"/>
    <x v="0"/>
    <s v="Liam Neeson"/>
    <s v="Julianne Moore"/>
    <s v="Lupita Nyong'o"/>
    <s v="Nate Parker"/>
    <s v="Michelle Dockery"/>
    <x v="21"/>
    <n v="222800000"/>
    <n v="172800000"/>
    <x v="220"/>
    <x v="0"/>
  </r>
  <r>
    <x v="229"/>
    <d v="2013-05-31T00:00:00"/>
    <x v="1"/>
    <x v="5"/>
    <x v="206"/>
    <x v="0"/>
    <s v="Jesse Eisenberg"/>
    <s v="Isla Fisher"/>
    <s v="Morgan Freeman"/>
    <s v="Woody Harrelson"/>
    <s v="Mark Ruffalo"/>
    <x v="76"/>
    <n v="351700000"/>
    <n v="276700000"/>
    <x v="221"/>
    <x v="0"/>
  </r>
  <r>
    <x v="230"/>
    <d v="2016-06-06T00:00:00"/>
    <x v="0"/>
    <x v="0"/>
    <x v="150"/>
    <x v="0"/>
    <s v="Mark Ruffalo"/>
    <s v="Jesse Eisenberg"/>
    <s v="Woody Harrelson"/>
    <s v="Dave Franco"/>
    <s v="Lizzy Caplan"/>
    <x v="20"/>
    <n v="320900000"/>
    <n v="230900000"/>
    <x v="222"/>
    <x v="2"/>
  </r>
  <r>
    <x v="231"/>
    <d v="2013-04-10T00:00:00"/>
    <x v="1"/>
    <x v="1"/>
    <x v="207"/>
    <x v="0"/>
    <s v="Tom Cruise"/>
    <s v="Olga Kurylenko"/>
    <s v="Andrea Riseborough"/>
    <s v="Morgan Freeman"/>
    <s v="Nikolaj Coster-Waldau"/>
    <x v="69"/>
    <n v="286200000"/>
    <n v="166200000"/>
    <x v="223"/>
    <x v="2"/>
  </r>
  <r>
    <x v="232"/>
    <d v="2013-03-22T00:00:00"/>
    <x v="1"/>
    <x v="1"/>
    <x v="208"/>
    <x v="0"/>
    <s v="Gerard Butler"/>
    <s v="Aaron Eckhart"/>
    <s v="Morgan Freeman"/>
    <s v="Rick Yune"/>
    <s v="Dylan McDermott"/>
    <x v="37"/>
    <n v="161000000"/>
    <n v="91000000"/>
    <x v="224"/>
    <x v="2"/>
  </r>
  <r>
    <x v="233"/>
    <d v="2013-08-29T00:00:00"/>
    <x v="1"/>
    <x v="16"/>
    <x v="209"/>
    <x v="0"/>
    <s v="Harry Styles"/>
    <s v="Niall Horan"/>
    <s v="Louis Tomlinson"/>
    <s v="Zayn Malik"/>
    <s v="Liam Payne"/>
    <x v="35"/>
    <n v="68500000"/>
    <n v="58500000"/>
    <x v="225"/>
    <x v="0"/>
  </r>
  <r>
    <x v="234"/>
    <d v="2012-01-27T00:00:00"/>
    <x v="2"/>
    <x v="5"/>
    <x v="210"/>
    <x v="0"/>
    <s v="Katherine Heigl"/>
    <s v="Debbie Reynolds"/>
    <s v="Jason O'Mara"/>
    <s v="Daniel Sunjata"/>
    <s v="Sherri Shepherd"/>
    <x v="6"/>
    <n v="36900000"/>
    <n v="-3100000"/>
    <x v="226"/>
    <x v="3"/>
  </r>
  <r>
    <x v="235"/>
    <d v="2014-10-24T00:00:00"/>
    <x v="3"/>
    <x v="7"/>
    <x v="211"/>
    <x v="0"/>
    <s v="Douglas Smith"/>
    <s v="Olivia Cooke"/>
    <s v="Vivis Colombetti"/>
    <s v="Ana Coto"/>
    <s v="Erin Moriarty"/>
    <x v="8"/>
    <n v="103600000"/>
    <n v="98600000"/>
    <x v="227"/>
    <x v="0"/>
  </r>
  <r>
    <x v="236"/>
    <d v="2015-09-11T00:00:00"/>
    <x v="4"/>
    <x v="2"/>
    <x v="212"/>
    <x v="0"/>
    <s v="Sandra Bullock"/>
    <s v="Scoot McNairy"/>
    <s v="Billy Bob Thornton"/>
    <s v="Anthony Mackie"/>
    <s v="Ann Dowd"/>
    <x v="14"/>
    <n v="8600000"/>
    <n v="-19400000"/>
    <x v="228"/>
    <x v="3"/>
  </r>
  <r>
    <x v="237"/>
    <d v="2013-07-12T00:00:00"/>
    <x v="1"/>
    <x v="1"/>
    <x v="69"/>
    <x v="0"/>
    <s v="Charlie Hunnam"/>
    <s v="Ellen McLain"/>
    <s v="Idris Elba"/>
    <s v="Charlie Day"/>
    <s v="Rinko Kikuchi"/>
    <x v="106"/>
    <n v="411000000"/>
    <n v="221000000"/>
    <x v="229"/>
    <x v="2"/>
  </r>
  <r>
    <x v="238"/>
    <d v="2013-04-26T00:00:00"/>
    <x v="1"/>
    <x v="1"/>
    <x v="1"/>
    <x v="0"/>
    <s v="Mark Wahlberg"/>
    <s v="Dwayne Johnson"/>
    <s v="Ed Harris"/>
    <s v="Ken Jeong"/>
    <s v="Anthony Mackie"/>
    <x v="107"/>
    <n v="86200000"/>
    <n v="60200000"/>
    <x v="230"/>
    <x v="2"/>
  </r>
  <r>
    <x v="239"/>
    <d v="2015-09-30T00:00:00"/>
    <x v="4"/>
    <x v="11"/>
    <x v="213"/>
    <x v="0"/>
    <s v="Hugh Jackman"/>
    <s v="Garrett Hedlund"/>
    <s v="Rooney Mara"/>
    <s v="Amanda Seyfried"/>
    <s v="Levi Miller"/>
    <x v="52"/>
    <n v="128400000"/>
    <n v="-21600000"/>
    <x v="231"/>
    <x v="3"/>
  </r>
  <r>
    <x v="240"/>
    <d v="2015-07-24T00:00:00"/>
    <x v="4"/>
    <x v="9"/>
    <x v="214"/>
    <x v="0"/>
    <s v="Nat Wolff"/>
    <s v="Cara Delevingne"/>
    <s v=""/>
    <s v=""/>
    <s v=""/>
    <x v="46"/>
    <n v="85500000"/>
    <n v="73500000"/>
    <x v="232"/>
    <x v="0"/>
  </r>
  <r>
    <x v="241"/>
    <d v="2012-10-19T00:00:00"/>
    <x v="2"/>
    <x v="0"/>
    <x v="215"/>
    <x v="22"/>
    <s v="Kathryn Newton"/>
    <s v="Katie Featherston"/>
    <s v=""/>
    <s v=""/>
    <s v=""/>
    <x v="8"/>
    <n v="142800000"/>
    <n v="137800000"/>
    <x v="233"/>
    <x v="0"/>
  </r>
  <r>
    <x v="242"/>
    <d v="2015-10-23T00:00:00"/>
    <x v="4"/>
    <x v="7"/>
    <x v="216"/>
    <x v="0"/>
    <s v="Katie Featherston"/>
    <s v="Tyler Craig"/>
    <s v=""/>
    <s v=""/>
    <s v=""/>
    <x v="35"/>
    <n v="78100000"/>
    <n v="68100000"/>
    <x v="234"/>
    <x v="0"/>
  </r>
  <r>
    <x v="243"/>
    <d v="2012-08-17T00:00:00"/>
    <x v="2"/>
    <x v="11"/>
    <x v="217"/>
    <x v="0"/>
    <s v="Kodi Smit-McPhee"/>
    <s v="Tucker Albrizzi"/>
    <s v="Anna Kendrick"/>
    <s v="Casey Affleck"/>
    <s v="Christopher Mintz-Plasse"/>
    <x v="31"/>
    <n v="107100000"/>
    <n v="47100000"/>
    <x v="235"/>
    <x v="1"/>
  </r>
  <r>
    <x v="244"/>
    <d v="2012-12-25T00:00:00"/>
    <x v="2"/>
    <x v="2"/>
    <x v="218"/>
    <x v="0"/>
    <s v="Billy Crystal"/>
    <s v="Bette Midler"/>
    <s v="Marisa Tomei"/>
    <s v="Tom Everett Scott"/>
    <s v="Bailee Madison"/>
    <x v="61"/>
    <n v="119800000"/>
    <n v="94800000"/>
    <x v="236"/>
    <x v="0"/>
  </r>
  <r>
    <x v="245"/>
    <d v="2013-01-25T00:00:00"/>
    <x v="1"/>
    <x v="5"/>
    <x v="219"/>
    <x v="0"/>
    <s v="Jason Statham"/>
    <s v="Jennifer Lopez"/>
    <s v="Bobby Cannavale"/>
    <s v="Clifton Collins"/>
    <s v="Jr."/>
    <x v="18"/>
    <n v="48500000"/>
    <n v="13500000"/>
    <x v="237"/>
    <x v="1"/>
  </r>
  <r>
    <x v="246"/>
    <d v="2015-04-17T00:00:00"/>
    <x v="4"/>
    <x v="1"/>
    <x v="218"/>
    <x v="0"/>
    <s v="Kevin James"/>
    <s v="Raini Rodriguez"/>
    <s v="Neal McDonough"/>
    <s v="Molly Shannon"/>
    <s v="Daniella Alonso"/>
    <x v="6"/>
    <n v="107600000"/>
    <n v="67600000"/>
    <x v="238"/>
    <x v="2"/>
  </r>
  <r>
    <x v="247"/>
    <d v="2015-09-11T00:00:00"/>
    <x v="4"/>
    <x v="3"/>
    <x v="220"/>
    <x v="0"/>
    <s v="Tobey Maguire"/>
    <s v="Liev Schreiber"/>
    <s v="Peter Sarsgaard"/>
    <s v="Michael Stuhlbarg"/>
    <s v="Lily Rabe"/>
    <x v="72"/>
    <n v="5400000"/>
    <n v="-13600000"/>
    <x v="239"/>
    <x v="3"/>
  </r>
  <r>
    <x v="248"/>
    <d v="2014-11-14T00:00:00"/>
    <x v="3"/>
    <x v="13"/>
    <x v="221"/>
    <x v="0"/>
    <s v="Tom McGrath"/>
    <s v="Chris Miller"/>
    <s v="Conrad Vernon"/>
    <s v="Christopher Knights"/>
    <s v="Benedict Cumberbatch"/>
    <x v="108"/>
    <n v="373000000"/>
    <n v="241000000"/>
    <x v="240"/>
    <x v="2"/>
  </r>
  <r>
    <x v="249"/>
    <d v="2012-06-29T00:00:00"/>
    <x v="2"/>
    <x v="4"/>
    <x v="222"/>
    <x v="0"/>
    <s v="Chris Pine"/>
    <s v="Elizabeth Banks"/>
    <s v="Michelle Pfeiffer"/>
    <s v="Olivia Wilde"/>
    <s v="Mark Duplass"/>
    <x v="92"/>
    <n v="12400000"/>
    <n v="-3600000"/>
    <x v="241"/>
    <x v="3"/>
  </r>
  <r>
    <x v="250"/>
    <d v="2013-08-07T00:00:00"/>
    <x v="1"/>
    <x v="6"/>
    <x v="223"/>
    <x v="0"/>
    <s v="Logan Lerman"/>
    <s v="Alexandra Daddario"/>
    <s v="Douglas Smith"/>
    <s v="Mary Birdsong"/>
    <s v="Yvette Nicole Brown"/>
    <x v="20"/>
    <n v="202200000"/>
    <n v="112200000"/>
    <x v="242"/>
    <x v="2"/>
  </r>
  <r>
    <x v="251"/>
    <d v="2012-10-05T00:00:00"/>
    <x v="2"/>
    <x v="2"/>
    <x v="224"/>
    <x v="0"/>
    <s v="Anna Kendrick"/>
    <s v="Anna Camp"/>
    <s v="Rebel Wilson"/>
    <s v="Adam DeVine"/>
    <s v="Alexis Knapp"/>
    <x v="68"/>
    <n v="115400000"/>
    <n v="98400000"/>
    <x v="243"/>
    <x v="0"/>
  </r>
  <r>
    <x v="252"/>
    <d v="2015-04-20T00:00:00"/>
    <x v="4"/>
    <x v="2"/>
    <x v="225"/>
    <x v="0"/>
    <s v="Anna Kendrick"/>
    <s v="Rebel Wilson"/>
    <s v="Hailee Steinfeld"/>
    <s v="Brittany Snow"/>
    <s v="Skylar Astin"/>
    <x v="109"/>
    <n v="287100000"/>
    <n v="258100000"/>
    <x v="244"/>
    <x v="0"/>
  </r>
  <r>
    <x v="253"/>
    <d v="2015-07-24T00:00:00"/>
    <x v="4"/>
    <x v="2"/>
    <x v="226"/>
    <x v="0"/>
    <s v="Adam Sandler"/>
    <s v="Kevin James"/>
    <s v="Josh Gad"/>
    <s v="Peter Dinklage"/>
    <s v="Michelle Monaghan"/>
    <x v="110"/>
    <n v="244900000"/>
    <n v="115900000"/>
    <x v="245"/>
    <x v="1"/>
  </r>
  <r>
    <x v="254"/>
    <d v="2015-12-25T00:00:00"/>
    <x v="4"/>
    <x v="1"/>
    <x v="227"/>
    <x v="0"/>
    <s v="Edgar Ramirez"/>
    <s v="Luke Bracey"/>
    <s v="Ray Winstone"/>
    <s v="Teresa Palmer"/>
    <s v=""/>
    <x v="84"/>
    <n v="133700000"/>
    <n v="28700000"/>
    <x v="246"/>
    <x v="1"/>
  </r>
  <r>
    <x v="255"/>
    <d v="2015-09-17T00:00:00"/>
    <x v="4"/>
    <x v="1"/>
    <x v="228"/>
    <x v="0"/>
    <s v="Shaheizy Sam"/>
    <s v="Zizan Razak"/>
    <s v="Nora Danish"/>
    <s v="Mimie Ernida"/>
    <s v="Wan Hanafi Su"/>
    <x v="91"/>
    <n v="17300000"/>
    <n v="14900000"/>
    <x v="247"/>
    <x v="0"/>
  </r>
  <r>
    <x v="256"/>
    <d v="2015-05-22T00:00:00"/>
    <x v="4"/>
    <x v="7"/>
    <x v="229"/>
    <x v="0"/>
    <s v="Sam Rockwell"/>
    <s v="Jared Harris"/>
    <s v="Rosemarie DeWitt"/>
    <s v="Saxon Sharbino"/>
    <s v="Kyle Catlett"/>
    <x v="18"/>
    <n v="95400000"/>
    <n v="60400000"/>
    <x v="248"/>
    <x v="2"/>
  </r>
  <r>
    <x v="257"/>
    <d v="2014-02-18T00:00:00"/>
    <x v="3"/>
    <x v="1"/>
    <x v="230"/>
    <x v="0"/>
    <s v="Kit Harington"/>
    <s v="Emily Browning"/>
    <s v="Jared Harris"/>
    <s v="Kiefer Sutherland"/>
    <s v="Carrie-Anne Moss"/>
    <x v="80"/>
    <n v="117800000"/>
    <n v="37800000"/>
    <x v="249"/>
    <x v="1"/>
  </r>
  <r>
    <x v="258"/>
    <d v="2016-06-03T00:00:00"/>
    <x v="0"/>
    <x v="2"/>
    <x v="231"/>
    <x v="23"/>
    <s v="Jorma Taccone"/>
    <s v="Akiva Schaffer"/>
    <s v="Andy Samberg (screenplay)"/>
    <s v=""/>
    <s v=""/>
    <x v="13"/>
    <n v="9500000"/>
    <n v="-10500000"/>
    <x v="250"/>
    <x v="3"/>
  </r>
  <r>
    <x v="259"/>
    <d v="2012-08-24T00:00:00"/>
    <x v="2"/>
    <x v="1"/>
    <x v="191"/>
    <x v="0"/>
    <s v="Joseph Gordon-Levitt"/>
    <s v="Michael Shannon"/>
    <s v="Dania Ramirez"/>
    <s v="Wole Parks"/>
    <s v="Jamie Chung"/>
    <x v="18"/>
    <n v="31100000"/>
    <n v="-3900000"/>
    <x v="251"/>
    <x v="3"/>
  </r>
  <r>
    <x v="260"/>
    <d v="2016-02-05T00:00:00"/>
    <x v="0"/>
    <x v="2"/>
    <x v="232"/>
    <x v="0"/>
    <s v="Lily James"/>
    <s v="Sam Riley"/>
    <s v="Matt Smith"/>
    <s v="Lena Headey"/>
    <s v="Charles Dance"/>
    <x v="14"/>
    <n v="16400000"/>
    <n v="-11600000"/>
    <x v="252"/>
    <x v="3"/>
  </r>
  <r>
    <x v="261"/>
    <d v="2013-09-20T00:00:00"/>
    <x v="1"/>
    <x v="5"/>
    <x v="233"/>
    <x v="0"/>
    <s v="Jake Gyllenhaal"/>
    <s v="Hugh Jackman"/>
    <s v="Paul Dano"/>
    <s v="Melissa Leo"/>
    <s v="Viola Davis"/>
    <x v="111"/>
    <n v="122100000"/>
    <n v="76100000"/>
    <x v="253"/>
    <x v="2"/>
  </r>
  <r>
    <x v="262"/>
    <d v="2015-01-30T00:00:00"/>
    <x v="4"/>
    <x v="8"/>
    <x v="234"/>
    <x v="0"/>
    <s v="Jonny Weston"/>
    <s v="Sofia Black-D'Elia"/>
    <s v=""/>
    <s v=""/>
    <s v=""/>
    <x v="46"/>
    <n v="33200000"/>
    <n v="21200000"/>
    <x v="254"/>
    <x v="2"/>
  </r>
  <r>
    <x v="263"/>
    <d v="2012-03-02T00:00:00"/>
    <x v="2"/>
    <x v="2"/>
    <x v="24"/>
    <x v="0"/>
    <s v="Miles Teller"/>
    <s v="Oliver Cooper"/>
    <s v="Jonathan Daniel Brown"/>
    <s v="Kirby Bliss Blanton"/>
    <s v="Thomas Mann"/>
    <x v="46"/>
    <n v="102700000"/>
    <n v="90700000"/>
    <x v="255"/>
    <x v="0"/>
  </r>
  <r>
    <x v="264"/>
    <d v="2012-06-08T00:00:00"/>
    <x v="2"/>
    <x v="8"/>
    <x v="235"/>
    <x v="0"/>
    <s v="Noomi Rapace"/>
    <s v="Michael Fassbender"/>
    <s v="Charlize Theron"/>
    <s v="Idris Elba"/>
    <s v="Guy Pearce"/>
    <x v="17"/>
    <n v="403400000"/>
    <n v="273400000"/>
    <x v="256"/>
    <x v="2"/>
  </r>
  <r>
    <x v="265"/>
    <d v="2012-12-28T00:00:00"/>
    <x v="2"/>
    <x v="4"/>
    <x v="236"/>
    <x v="0"/>
    <s v="Matt Damon"/>
    <s v="John Krasinski"/>
    <s v="Rosemarie DeWitt"/>
    <s v="Frances McDormand"/>
    <s v=""/>
    <x v="0"/>
    <n v="8100000"/>
    <n v="-6900000"/>
    <x v="257"/>
    <x v="3"/>
  </r>
  <r>
    <x v="266"/>
    <d v="2013-07-19T00:00:00"/>
    <x v="1"/>
    <x v="1"/>
    <x v="237"/>
    <x v="0"/>
    <s v="Ryan Reynolds"/>
    <s v="Jeff Bridges"/>
    <s v="Kevin Bacon"/>
    <s v="Stephanie Szostak"/>
    <s v="Mary-Louise Parker"/>
    <x v="17"/>
    <n v="78300000"/>
    <n v="-51700000"/>
    <x v="258"/>
    <x v="3"/>
  </r>
  <r>
    <x v="267"/>
    <d v="2016-02-19T00:00:00"/>
    <x v="0"/>
    <x v="4"/>
    <x v="238"/>
    <x v="0"/>
    <s v="Stephan James"/>
    <s v="Jason Sudeikis"/>
    <s v="Jeremy Irons"/>
    <s v="William Hurt"/>
    <s v="Carice van Houten"/>
    <x v="8"/>
    <n v="23500000"/>
    <n v="18500000"/>
    <x v="24"/>
    <x v="0"/>
  </r>
  <r>
    <x v="268"/>
    <d v="2012-09-07T00:00:00"/>
    <x v="2"/>
    <x v="1"/>
    <x v="48"/>
    <x v="0"/>
    <s v="Harrison Ford"/>
    <s v="John Rhys-Davies"/>
    <s v="Karen Allen"/>
    <s v="Paul Freeman"/>
    <s v="Alfred Molina"/>
    <x v="38"/>
    <n v="389900000"/>
    <n v="371900000"/>
    <x v="259"/>
    <x v="0"/>
  </r>
  <r>
    <x v="269"/>
    <d v="2015-05-15T00:00:00"/>
    <x v="4"/>
    <x v="4"/>
    <x v="239"/>
    <x v="0"/>
    <s v="Sigurður Sigurjónsson"/>
    <s v=""/>
    <s v=""/>
    <s v=""/>
    <s v=""/>
    <x v="112"/>
    <n v="1740000"/>
    <n v="-10000"/>
    <x v="260"/>
    <x v="3"/>
  </r>
  <r>
    <x v="270"/>
    <d v="2016-04-29T00:00:00"/>
    <x v="0"/>
    <x v="8"/>
    <x v="240"/>
    <x v="24"/>
    <s v="Paul Giamatti"/>
    <s v="John Goodman"/>
    <s v="Bella Thorne"/>
    <s v="Rosario Dawson"/>
    <s v="James Arnold Taylor"/>
    <x v="13"/>
    <n v="12800000"/>
    <n v="-7200000"/>
    <x v="261"/>
    <x v="3"/>
  </r>
  <r>
    <x v="271"/>
    <d v="2013-07-19T00:00:00"/>
    <x v="1"/>
    <x v="1"/>
    <x v="241"/>
    <x v="0"/>
    <s v="Bruce Willis"/>
    <s v="John Malkovich"/>
    <s v="Helen Mirren"/>
    <s v="Mary-Louise Parker"/>
    <s v="Catherine Zeta-Jones"/>
    <x v="79"/>
    <n v="148100000"/>
    <n v="64100000"/>
    <x v="262"/>
    <x v="1"/>
  </r>
  <r>
    <x v="272"/>
    <d v="2012-11-21T00:00:00"/>
    <x v="2"/>
    <x v="1"/>
    <x v="242"/>
    <x v="0"/>
    <s v="Will Yun Lee"/>
    <s v="Chris Hemsworth"/>
    <s v="Josh Peck"/>
    <s v="Adrianne Palicki"/>
    <s v="Josh Hutcherson"/>
    <x v="25"/>
    <n v="48100000"/>
    <n v="-16900000"/>
    <x v="263"/>
    <x v="3"/>
  </r>
  <r>
    <x v="273"/>
    <d v="2012-01-20T00:00:00"/>
    <x v="2"/>
    <x v="4"/>
    <x v="243"/>
    <x v="0"/>
    <s v="Cuba Gooding Jr."/>
    <s v="Nate Parker"/>
    <s v="David Oyelowo"/>
    <s v="Daniela Ruah"/>
    <s v="Terrence Howard"/>
    <x v="55"/>
    <n v="50400000"/>
    <n v="-7600000"/>
    <x v="264"/>
    <x v="3"/>
  </r>
  <r>
    <x v="274"/>
    <d v="2012-09-14T00:00:00"/>
    <x v="2"/>
    <x v="1"/>
    <x v="230"/>
    <x v="0"/>
    <s v="Milla Jovovich"/>
    <s v="Sienna Guillory"/>
    <s v="Colin Salmon"/>
    <s v="Boris Kodjoe"/>
    <s v="Michelle Rodriguez"/>
    <x v="25"/>
    <n v="240200000"/>
    <n v="175200000"/>
    <x v="265"/>
    <x v="2"/>
  </r>
  <r>
    <x v="275"/>
    <d v="2015-08-07T00:00:00"/>
    <x v="4"/>
    <x v="2"/>
    <x v="244"/>
    <x v="0"/>
    <s v="Meryl Streep"/>
    <s v="Kevin Kline"/>
    <s v="Mamie Gummer"/>
    <s v="Audra McDonald"/>
    <s v="Sebastian Stan"/>
    <x v="38"/>
    <n v="41300000"/>
    <n v="23300000"/>
    <x v="266"/>
    <x v="2"/>
  </r>
  <r>
    <x v="276"/>
    <d v="2013-09-06T00:00:00"/>
    <x v="1"/>
    <x v="1"/>
    <x v="245"/>
    <x v="0"/>
    <s v="Vin Diesel"/>
    <s v="Karl Urban"/>
    <s v="Katee Sackhoff"/>
    <s v="Dave Bautista"/>
    <s v="Matthew Nable"/>
    <x v="6"/>
    <n v="100300000"/>
    <n v="60300000"/>
    <x v="267"/>
    <x v="2"/>
  </r>
  <r>
    <x v="277"/>
    <d v="2014-01-17T00:00:00"/>
    <x v="3"/>
    <x v="1"/>
    <x v="246"/>
    <x v="0"/>
    <s v="Ice Cube"/>
    <s v="Kevin Hart"/>
    <s v="John Leguizamo"/>
    <s v="Bruce McGill"/>
    <s v="Tika Sumpter"/>
    <x v="61"/>
    <n v="154500000"/>
    <n v="129500000"/>
    <x v="268"/>
    <x v="0"/>
  </r>
  <r>
    <x v="278"/>
    <d v="2016-01-15T00:00:00"/>
    <x v="0"/>
    <x v="2"/>
    <x v="246"/>
    <x v="0"/>
    <s v="Ice Cube"/>
    <s v="Kevin Hart"/>
    <s v="Benjamin Bratt"/>
    <s v="Olivia Munn"/>
    <s v="Ken Jeong"/>
    <x v="6"/>
    <n v="124200000"/>
    <n v="84200000"/>
    <x v="269"/>
    <x v="2"/>
  </r>
  <r>
    <x v="279"/>
    <d v="2014-03-20T00:00:00"/>
    <x v="3"/>
    <x v="13"/>
    <x v="247"/>
    <x v="0"/>
    <s v="Jesse Eisenberg"/>
    <s v="Anne Hathaway"/>
    <s v="Leslie Mann"/>
    <s v="Bruno Mars"/>
    <s v="Jemaine Clement"/>
    <x v="113"/>
    <n v="500100000"/>
    <n v="397100000"/>
    <x v="270"/>
    <x v="0"/>
  </r>
  <r>
    <x v="280"/>
    <d v="2012-11-21T00:00:00"/>
    <x v="2"/>
    <x v="6"/>
    <x v="248"/>
    <x v="0"/>
    <s v="Chris Pine"/>
    <s v="Alec Baldwin"/>
    <s v="Hugh Jackman"/>
    <s v="Isla Fisher"/>
    <s v="Jude Law"/>
    <x v="83"/>
    <n v="306900000"/>
    <n v="161900000"/>
    <x v="271"/>
    <x v="2"/>
  </r>
  <r>
    <x v="281"/>
    <d v="2016-02-19T00:00:00"/>
    <x v="0"/>
    <x v="4"/>
    <x v="249"/>
    <x v="0"/>
    <s v="Joseph Fiennes"/>
    <s v="Tom Felton"/>
    <s v="Cliff Curtis"/>
    <s v=""/>
    <s v=""/>
    <x v="13"/>
    <n v="46100000"/>
    <n v="26100000"/>
    <x v="272"/>
    <x v="2"/>
  </r>
  <r>
    <x v="282"/>
    <d v="2014-01-30T00:00:00"/>
    <x v="3"/>
    <x v="1"/>
    <x v="250"/>
    <x v="0"/>
    <s v="Joel Kinnaman"/>
    <s v="Gary Oldman"/>
    <s v="Michael Keaton"/>
    <s v="Samuel L. Jackson"/>
    <s v="Jackie Earle Haley"/>
    <x v="33"/>
    <n v="242700000"/>
    <n v="142700000"/>
    <x v="273"/>
    <x v="2"/>
  </r>
  <r>
    <x v="283"/>
    <d v="2012-08-17T00:00:00"/>
    <x v="2"/>
    <x v="2"/>
    <x v="214"/>
    <x v="0"/>
    <s v="Frank Langella"/>
    <s v="Susan Sarandon"/>
    <s v="James Marsden"/>
    <s v="Liv Tyler"/>
    <s v="Peter Sarsgaard"/>
    <x v="10"/>
    <n v="4900000"/>
    <n v="2400000"/>
    <x v="274"/>
    <x v="1"/>
  </r>
  <r>
    <x v="284"/>
    <d v="2012-06-15T00:00:00"/>
    <x v="2"/>
    <x v="10"/>
    <x v="251"/>
    <x v="0"/>
    <s v="Julianne Hough"/>
    <s v="Diego Boneta"/>
    <s v="Tom Cruise"/>
    <s v="Alec Baldwin"/>
    <s v="Russell Brand"/>
    <x v="76"/>
    <n v="59400000"/>
    <n v="-15600000"/>
    <x v="275"/>
    <x v="3"/>
  </r>
  <r>
    <x v="285"/>
    <d v="2015-10-22T00:00:00"/>
    <x v="4"/>
    <x v="2"/>
    <x v="252"/>
    <x v="0"/>
    <s v="Bill Murray"/>
    <s v="Bruce Willis"/>
    <s v="Kate Hudson"/>
    <s v="Scott Caan"/>
    <s v="Zooey Deschanel"/>
    <x v="0"/>
    <n v="3400000"/>
    <n v="-11600000"/>
    <x v="276"/>
    <x v="3"/>
  </r>
  <r>
    <x v="286"/>
    <d v="2013-07-26T00:00:00"/>
    <x v="1"/>
    <x v="4"/>
    <x v="253"/>
    <x v="0"/>
    <s v="Hailee Steinfeld"/>
    <s v="Douglas Booth"/>
    <s v="Damian Lewis"/>
    <s v="Natascha McElhone"/>
    <s v="Lesley Manville"/>
    <x v="0"/>
    <n v="3000000"/>
    <n v="-12000000"/>
    <x v="141"/>
    <x v="3"/>
  </r>
  <r>
    <x v="287"/>
    <d v="2015-09-04T00:00:00"/>
    <x v="4"/>
    <x v="4"/>
    <x v="254"/>
    <x v="0"/>
    <s v="Brie Larson"/>
    <s v="Joan Allen"/>
    <s v="William H. Macy"/>
    <s v="Sean Bridgers"/>
    <s v="Jacob Tremblay"/>
    <x v="62"/>
    <n v="36000000"/>
    <n v="23000000"/>
    <x v="277"/>
    <x v="2"/>
  </r>
  <r>
    <x v="288"/>
    <d v="2015-03-13T00:00:00"/>
    <x v="4"/>
    <x v="1"/>
    <x v="205"/>
    <x v="0"/>
    <s v="Liam Neeson"/>
    <s v="Joel Kinnaman"/>
    <s v="Ed Harris"/>
    <s v=""/>
    <s v=""/>
    <x v="114"/>
    <n v="71700000"/>
    <n v="10100000"/>
    <x v="278"/>
    <x v="1"/>
  </r>
  <r>
    <x v="289"/>
    <d v="2013-09-27T00:00:00"/>
    <x v="1"/>
    <x v="5"/>
    <x v="255"/>
    <x v="0"/>
    <s v="Ben Affleck"/>
    <s v="Justin Timberlake"/>
    <s v="Gemma Arterton"/>
    <s v="Anthony Mackie"/>
    <s v=""/>
    <x v="54"/>
    <n v="30000000"/>
    <n v="0"/>
    <x v="32"/>
    <x v="1"/>
  </r>
  <r>
    <x v="290"/>
    <d v="2013-09-20T00:00:00"/>
    <x v="1"/>
    <x v="1"/>
    <x v="138"/>
    <x v="0"/>
    <s v="Chris Hemsworth"/>
    <s v="Daniel Bruhl"/>
    <s v="Olivia Wilde"/>
    <s v="Alexandra Maria Lara"/>
    <s v=""/>
    <x v="115"/>
    <n v="90200000"/>
    <n v="52200000"/>
    <x v="279"/>
    <x v="2"/>
  </r>
  <r>
    <x v="291"/>
    <d v="2014-03-19T00:00:00"/>
    <x v="3"/>
    <x v="1"/>
    <x v="93"/>
    <x v="0"/>
    <s v="Arnold Schwarzenegger"/>
    <s v="Mireille Enos"/>
    <s v="Sam Worthington"/>
    <s v="Joe Manganiello"/>
    <s v="Olivia Williams"/>
    <x v="18"/>
    <n v="17500000"/>
    <n v="-17500000"/>
    <x v="165"/>
    <x v="3"/>
  </r>
  <r>
    <x v="292"/>
    <d v="2012-02-10T00:00:00"/>
    <x v="2"/>
    <x v="1"/>
    <x v="62"/>
    <x v="0"/>
    <s v="Denzel Washington"/>
    <s v="Ryan Reynolds"/>
    <s v="Sam Shepard"/>
    <s v="Robert Patrick"/>
    <s v="Liam Cunningham"/>
    <x v="58"/>
    <n v="208100000"/>
    <n v="123100000"/>
    <x v="280"/>
    <x v="2"/>
  </r>
  <r>
    <x v="293"/>
    <d v="2012-03-09T00:00:00"/>
    <x v="2"/>
    <x v="4"/>
    <x v="256"/>
    <x v="0"/>
    <s v="Ewan McGregor"/>
    <s v="Emily Blunt"/>
    <s v="Kristin Scott Thomas"/>
    <s v="Amr Waked"/>
    <s v=""/>
    <x v="116"/>
    <n v="34600000"/>
    <n v="20200000"/>
    <x v="281"/>
    <x v="2"/>
  </r>
  <r>
    <x v="294"/>
    <d v="2012-07-06T00:00:00"/>
    <x v="2"/>
    <x v="5"/>
    <x v="257"/>
    <x v="0"/>
    <s v="Taylor Kitsch"/>
    <s v="Blake Lively"/>
    <s v="Aaron Johnson"/>
    <s v="John Travolta"/>
    <s v="Benicio del Toro"/>
    <x v="1"/>
    <n v="83000000"/>
    <n v="38000000"/>
    <x v="282"/>
    <x v="1"/>
  </r>
  <r>
    <x v="295"/>
    <d v="2013-04-12T00:00:00"/>
    <x v="1"/>
    <x v="2"/>
    <x v="32"/>
    <x v="0"/>
    <s v="Ashley Tisdale"/>
    <s v="Simon Rex"/>
    <s v="Lindsay Lohan"/>
    <s v="Charlie Sheen"/>
    <s v="Terry Crews"/>
    <x v="13"/>
    <n v="78400000"/>
    <n v="58400000"/>
    <x v="283"/>
    <x v="2"/>
  </r>
  <r>
    <x v="296"/>
    <d v="2015-11-20T00:00:00"/>
    <x v="4"/>
    <x v="5"/>
    <x v="258"/>
    <x v="0"/>
    <s v="Julia Roberts"/>
    <s v="Nicole Kidman"/>
    <s v="Chiwetel Ejiofor"/>
    <s v="Dean Norris"/>
    <s v=""/>
    <x v="117"/>
    <n v="32200000"/>
    <n v="12700000"/>
    <x v="284"/>
    <x v="1"/>
  </r>
  <r>
    <x v="297"/>
    <d v="2015-07-10T00:00:00"/>
    <x v="4"/>
    <x v="4"/>
    <x v="186"/>
    <x v="0"/>
    <s v="Ryan Reynolds"/>
    <s v="Ben Kingsley"/>
    <s v="Natalie Martinez"/>
    <s v="Victor Garber"/>
    <s v="Matthew Goode"/>
    <x v="107"/>
    <n v="30500000"/>
    <n v="4500000"/>
    <x v="285"/>
    <x v="1"/>
  </r>
  <r>
    <x v="298"/>
    <d v="2014-12-25T00:00:00"/>
    <x v="3"/>
    <x v="4"/>
    <x v="259"/>
    <x v="0"/>
    <s v="David Oyelowo"/>
    <s v="Tom Wilkinson"/>
    <s v="Common"/>
    <s v="Carmen Ejogo"/>
    <s v=""/>
    <x v="13"/>
    <n v="66800000"/>
    <n v="46800000"/>
    <x v="286"/>
    <x v="2"/>
  </r>
  <r>
    <x v="299"/>
    <d v="2014-12-17T00:00:00"/>
    <x v="3"/>
    <x v="11"/>
    <x v="260"/>
    <x v="0"/>
    <s v="Sergei Bodrov (director) Ben Barnes"/>
    <s v="Jeff Bridges"/>
    <s v="Julianne Moore"/>
    <s v="Alicia Vikander"/>
    <s v="Kit Harington"/>
    <x v="85"/>
    <n v="114200000"/>
    <n v="19200000"/>
    <x v="287"/>
    <x v="1"/>
  </r>
  <r>
    <x v="300"/>
    <d v="2015-01-24T00:00:00"/>
    <x v="4"/>
    <x v="6"/>
    <x v="261"/>
    <x v="0"/>
    <s v="Justin Fletcher"/>
    <s v="John Sparkes"/>
    <s v=""/>
    <s v=""/>
    <s v=""/>
    <x v="61"/>
    <n v="106000000"/>
    <n v="81000000"/>
    <x v="288"/>
    <x v="0"/>
  </r>
  <r>
    <x v="301"/>
    <d v="2015-05-19T00:00:00"/>
    <x v="4"/>
    <x v="5"/>
    <x v="233"/>
    <x v="0"/>
    <s v="Emily Blunt"/>
    <s v="Benicio del Toro"/>
    <s v="Josh Brolin"/>
    <s v="Jon Bernthal"/>
    <s v=""/>
    <x v="54"/>
    <n v="84900000"/>
    <n v="54900000"/>
    <x v="289"/>
    <x v="2"/>
  </r>
  <r>
    <x v="302"/>
    <d v="2013-02-08T00:00:00"/>
    <x v="1"/>
    <x v="5"/>
    <x v="262"/>
    <x v="0"/>
    <s v="Rooney Mara"/>
    <s v="Jude Law"/>
    <s v="Channing Tatum"/>
    <s v="Catherine Zeta-Jones"/>
    <s v="Vinessa Shaw"/>
    <x v="54"/>
    <n v="66700000"/>
    <n v="36700000"/>
    <x v="290"/>
    <x v="2"/>
  </r>
  <r>
    <x v="303"/>
    <d v="2012-10-26T00:00:00"/>
    <x v="2"/>
    <x v="7"/>
    <x v="263"/>
    <x v="0"/>
    <s v="Adelaide Clemens"/>
    <s v="Sean Bean"/>
    <s v="Radha Mitchell"/>
    <s v="Kit Harington"/>
    <s v="Carrie-Anne Moss"/>
    <x v="13"/>
    <n v="52300000"/>
    <n v="32300000"/>
    <x v="291"/>
    <x v="2"/>
  </r>
  <r>
    <x v="304"/>
    <d v="2012-11-16T00:00:00"/>
    <x v="2"/>
    <x v="4"/>
    <x v="154"/>
    <x v="0"/>
    <s v="Bradley Cooper"/>
    <s v="Jennifer Lawrence"/>
    <s v="Brea Bee"/>
    <s v="Robert De Niro"/>
    <s v="Jacki Weaver"/>
    <x v="118"/>
    <n v="236400000"/>
    <n v="215400000"/>
    <x v="292"/>
    <x v="0"/>
  </r>
  <r>
    <x v="305"/>
    <d v="2014-08-19T00:00:00"/>
    <x v="3"/>
    <x v="5"/>
    <x v="264"/>
    <x v="25"/>
    <s v="Jessica Alba"/>
    <s v="Powers Boothe"/>
    <s v="Josh Brolin"/>
    <s v="Rosario Dawson"/>
    <s v="Joseph Gordon-Levitt"/>
    <x v="25"/>
    <n v="39400000"/>
    <n v="-25600000"/>
    <x v="293"/>
    <x v="3"/>
  </r>
  <r>
    <x v="306"/>
    <d v="2012-10-12T00:00:00"/>
    <x v="2"/>
    <x v="7"/>
    <x v="77"/>
    <x v="0"/>
    <s v="Ethan Hawke"/>
    <s v="Juliet Rylance"/>
    <s v="Fred Thompson"/>
    <s v="Vincent D'Onofrio"/>
    <s v=""/>
    <x v="73"/>
    <n v="77700000"/>
    <n v="74700000"/>
    <x v="294"/>
    <x v="0"/>
  </r>
  <r>
    <x v="307"/>
    <d v="2015-08-21T00:00:00"/>
    <x v="4"/>
    <x v="7"/>
    <x v="265"/>
    <x v="0"/>
    <s v="James Ransone"/>
    <s v="Shannyn Sossamon"/>
    <s v=""/>
    <s v=""/>
    <s v=""/>
    <x v="35"/>
    <n v="52900000"/>
    <n v="42900000"/>
    <x v="295"/>
    <x v="0"/>
  </r>
  <r>
    <x v="308"/>
    <d v="2015-12-18T00:00:00"/>
    <x v="4"/>
    <x v="2"/>
    <x v="224"/>
    <x v="0"/>
    <s v="Amy Poehler"/>
    <s v="Tina Fey"/>
    <s v="John Cena"/>
    <s v="Maya Rudolph"/>
    <s v=""/>
    <x v="54"/>
    <n v="105000000"/>
    <n v="75000000"/>
    <x v="296"/>
    <x v="2"/>
  </r>
  <r>
    <x v="309"/>
    <d v="2013-02-22T00:00:00"/>
    <x v="1"/>
    <x v="1"/>
    <x v="266"/>
    <x v="0"/>
    <s v="Dwayne Johnson"/>
    <s v="Susan Sarandon"/>
    <s v="Benjamin Bratt"/>
    <s v="Barry Pepper"/>
    <s v=""/>
    <x v="0"/>
    <n v="57800000"/>
    <n v="42800000"/>
    <x v="297"/>
    <x v="2"/>
  </r>
  <r>
    <x v="310"/>
    <d v="2012-06-01T00:00:00"/>
    <x v="2"/>
    <x v="1"/>
    <x v="267"/>
    <x v="0"/>
    <s v="Charlize Theron"/>
    <s v="Kristen Stewart"/>
    <s v="Chris Hemsworth"/>
    <s v="Sam Spruell"/>
    <s v="Ian McShane"/>
    <x v="41"/>
    <n v="396600000"/>
    <n v="226600000"/>
    <x v="298"/>
    <x v="2"/>
  </r>
  <r>
    <x v="311"/>
    <d v="2014-02-28T00:00:00"/>
    <x v="3"/>
    <x v="4"/>
    <x v="268"/>
    <x v="0"/>
    <s v="Diogo Morgado"/>
    <s v="Roma Downey"/>
    <s v="Darwin Shaw"/>
    <s v=""/>
    <s v=""/>
    <x v="32"/>
    <n v="67800000"/>
    <n v="45800000"/>
    <x v="299"/>
    <x v="2"/>
  </r>
  <r>
    <x v="312"/>
    <d v="2015-05-15T00:00:00"/>
    <x v="4"/>
    <x v="4"/>
    <x v="269"/>
    <x v="0"/>
    <s v="Géza Röhrig"/>
    <s v=""/>
    <s v=""/>
    <s v=""/>
    <s v=""/>
    <x v="56"/>
    <n v="6200000"/>
    <n v="4700000"/>
    <x v="300"/>
    <x v="0"/>
  </r>
  <r>
    <x v="313"/>
    <d v="2015-06-15T00:00:00"/>
    <x v="4"/>
    <x v="4"/>
    <x v="208"/>
    <x v="0"/>
    <s v="Jake Gyllenhaal"/>
    <s v="Rachel McAdams"/>
    <s v="Naomie Harris"/>
    <s v="Forest Whitaker"/>
    <s v="Victor Ortiz"/>
    <x v="54"/>
    <n v="92000000"/>
    <n v="62000000"/>
    <x v="301"/>
    <x v="2"/>
  </r>
  <r>
    <x v="314"/>
    <d v="2015-09-03T00:00:00"/>
    <x v="4"/>
    <x v="4"/>
    <x v="270"/>
    <x v="0"/>
    <s v="Mark Ruffalo"/>
    <s v="Michael Keaton"/>
    <s v="Rachel McAdams"/>
    <s v="Liev Schreiber"/>
    <s v="John Slattery"/>
    <x v="13"/>
    <n v="88300000"/>
    <n v="68300000"/>
    <x v="302"/>
    <x v="0"/>
  </r>
  <r>
    <x v="315"/>
    <d v="2015-05-15T00:00:00"/>
    <x v="4"/>
    <x v="1"/>
    <x v="113"/>
    <x v="0"/>
    <s v="Melissa McCarthy"/>
    <s v="Jason Statham"/>
    <s v="Rose Byrne"/>
    <s v="Miranda Hart"/>
    <s v="Bobby Cannavale"/>
    <x v="25"/>
    <n v="235700000"/>
    <n v="170700000"/>
    <x v="303"/>
    <x v="2"/>
  </r>
  <r>
    <x v="316"/>
    <d v="2014-09-05T00:00:00"/>
    <x v="3"/>
    <x v="2"/>
    <x v="271"/>
    <x v="0"/>
    <s v="Bill Murray"/>
    <s v="Melissa McCarthy"/>
    <s v="Naomi Watts"/>
    <s v="Chris O'Dowd"/>
    <s v="Kimberly Quinn"/>
    <x v="62"/>
    <n v="54800000"/>
    <n v="41800000"/>
    <x v="304"/>
    <x v="0"/>
  </r>
  <r>
    <x v="317"/>
    <d v="2014-08-08T00:00:00"/>
    <x v="3"/>
    <x v="15"/>
    <x v="272"/>
    <x v="26"/>
    <s v="Wasabi Mizuta"/>
    <s v="Megumi Ohara"/>
    <s v="Yumi Kakazu"/>
    <s v="Tomokazu Seki"/>
    <s v="Subaru Kimura"/>
    <x v="18"/>
    <n v="196400000"/>
    <n v="161400000"/>
    <x v="305"/>
    <x v="0"/>
  </r>
  <r>
    <x v="318"/>
    <d v="2016-07-22T00:00:00"/>
    <x v="0"/>
    <x v="1"/>
    <x v="100"/>
    <x v="0"/>
    <s v="Chris Pine"/>
    <s v="Zachary Quinto"/>
    <s v="Zoe Saldana"/>
    <s v="Karl Urban"/>
    <s v="John Cho"/>
    <x v="119"/>
    <n v="243000000"/>
    <n v="58000000"/>
    <x v="306"/>
    <x v="1"/>
  </r>
  <r>
    <x v="319"/>
    <d v="2014-08-08T00:00:00"/>
    <x v="3"/>
    <x v="4"/>
    <x v="273"/>
    <x v="0"/>
    <s v="Ryan Guzman"/>
    <s v="Briana Evigan"/>
    <s v="Alyson Stoner"/>
    <s v="Adam Sevani"/>
    <s v="Mari Koda"/>
    <x v="1"/>
    <n v="86200000"/>
    <n v="41200000"/>
    <x v="307"/>
    <x v="1"/>
  </r>
  <r>
    <x v="320"/>
    <d v="2015-09-05T00:00:00"/>
    <x v="4"/>
    <x v="3"/>
    <x v="274"/>
    <x v="0"/>
    <s v="Michael Fassbender"/>
    <s v="Seth Rogen"/>
    <s v="Kate Winslet"/>
    <s v="Jeff Daniels"/>
    <s v="Katherine Waterston"/>
    <x v="54"/>
    <n v="34400000"/>
    <n v="4400000"/>
    <x v="308"/>
    <x v="1"/>
  </r>
  <r>
    <x v="321"/>
    <d v="2015-08-11T00:00:00"/>
    <x v="4"/>
    <x v="3"/>
    <x v="275"/>
    <x v="0"/>
    <s v="O'Shea Jackson"/>
    <s v="Jr."/>
    <s v="Corey Hawkins"/>
    <s v="Jason Mitchell"/>
    <s v="Aldis Hodge"/>
    <x v="21"/>
    <n v="201600000"/>
    <n v="151600000"/>
    <x v="309"/>
    <x v="0"/>
  </r>
  <r>
    <x v="322"/>
    <d v="2015-09-04T00:00:00"/>
    <x v="4"/>
    <x v="4"/>
    <x v="276"/>
    <x v="0"/>
    <s v="Carey Mulligan"/>
    <s v="Helena Bonham Carter"/>
    <s v="Meryl Streep"/>
    <s v="Ben Whishaw"/>
    <s v="Brendan Gleeson"/>
    <x v="74"/>
    <n v="32000000"/>
    <n v="18000000"/>
    <x v="310"/>
    <x v="2"/>
  </r>
  <r>
    <x v="323"/>
    <d v="2016-08-05T00:00:00"/>
    <x v="0"/>
    <x v="1"/>
    <x v="93"/>
    <x v="0"/>
    <s v="Will Smith"/>
    <s v="Jared Leto"/>
    <s v="Margot Robbie"/>
    <s v="Joel Kinnaman"/>
    <s v="Viola Davis"/>
    <x v="120"/>
    <n v="636700000"/>
    <n v="461700000"/>
    <x v="154"/>
    <x v="2"/>
  </r>
  <r>
    <x v="324"/>
    <d v="2012-10-05T00:00:00"/>
    <x v="2"/>
    <x v="1"/>
    <x v="277"/>
    <x v="0"/>
    <s v="Liam Neeson"/>
    <s v="Famke Janssen"/>
    <s v="Maggie Grace"/>
    <s v="Rade Sherbedgia"/>
    <s v="Luke Grimes"/>
    <x v="121"/>
    <n v="376100000"/>
    <n v="333100000"/>
    <x v="311"/>
    <x v="0"/>
  </r>
  <r>
    <x v="325"/>
    <d v="2014-07-02T00:00:00"/>
    <x v="3"/>
    <x v="2"/>
    <x v="278"/>
    <x v="0"/>
    <s v="Melissa McCarthy"/>
    <s v="Susan Sarandon"/>
    <s v="Allison Janney"/>
    <s v="Toni Collette"/>
    <s v="Sandra Oh"/>
    <x v="13"/>
    <n v="100500000"/>
    <n v="80500000"/>
    <x v="312"/>
    <x v="0"/>
  </r>
  <r>
    <x v="326"/>
    <d v="2012-06-29T00:00:00"/>
    <x v="2"/>
    <x v="2"/>
    <x v="279"/>
    <x v="0"/>
    <s v="Mark Wahlberg"/>
    <s v="Mila Kunis"/>
    <s v="Seth MacFarlane"/>
    <s v="Giovanni Ribisi"/>
    <s v="Joel McHale"/>
    <x v="122"/>
    <n v="549400000"/>
    <n v="498400000"/>
    <x v="313"/>
    <x v="0"/>
  </r>
  <r>
    <x v="327"/>
    <d v="2015-06-24T00:00:00"/>
    <x v="4"/>
    <x v="2"/>
    <x v="279"/>
    <x v="0"/>
    <s v="Alec Sulkin"/>
    <s v="Wellesley Wild(screenplay) Mark Wahlberg"/>
    <s v="Seth MacFarlane"/>
    <s v="Amanda Seyfried"/>
    <s v="Giovanni Ribisi"/>
    <x v="75"/>
    <n v="216700000"/>
    <n v="148700000"/>
    <x v="314"/>
    <x v="2"/>
  </r>
  <r>
    <x v="328"/>
    <d v="2014-07-29T00:00:00"/>
    <x v="3"/>
    <x v="1"/>
    <x v="280"/>
    <x v="0"/>
    <s v="Megan Fox"/>
    <s v="Johnny Knoxville"/>
    <s v="Alan Ritchson"/>
    <s v="Noel Fisher"/>
    <s v="Jeremy Howard"/>
    <x v="105"/>
    <n v="493300000"/>
    <n v="368300000"/>
    <x v="315"/>
    <x v="2"/>
  </r>
  <r>
    <x v="329"/>
    <d v="2016-05-22T00:00:00"/>
    <x v="0"/>
    <x v="1"/>
    <x v="89"/>
    <x v="0"/>
    <s v="Megan Fox"/>
    <s v="Stephen Amell"/>
    <s v="Will Arnett"/>
    <s v="Laura Linney"/>
    <s v="Brian Tee"/>
    <x v="82"/>
    <n v="242500000"/>
    <n v="107500000"/>
    <x v="316"/>
    <x v="1"/>
  </r>
  <r>
    <x v="330"/>
    <d v="2015-06-22T00:00:00"/>
    <x v="4"/>
    <x v="8"/>
    <x v="281"/>
    <x v="0"/>
    <s v="Arnold Schwarzenegger"/>
    <s v="J. K. Simmons"/>
    <s v="Emilia Clarke"/>
    <s v="Jason Clarke"/>
    <s v="Jai Courtney"/>
    <x v="123"/>
    <n v="440600000"/>
    <n v="285600000"/>
    <x v="317"/>
    <x v="2"/>
  </r>
  <r>
    <x v="331"/>
    <d v="2013-01-04T00:00:00"/>
    <x v="1"/>
    <x v="7"/>
    <x v="282"/>
    <x v="0"/>
    <s v="Alexandra Daddario"/>
    <s v="Dan Yeager"/>
    <s v="Trey Songz"/>
    <s v="Scott Eastwood"/>
    <s v="Tania Raymonde"/>
    <x v="13"/>
    <n v="47200000"/>
    <n v="27200000"/>
    <x v="318"/>
    <x v="2"/>
  </r>
  <r>
    <x v="332"/>
    <d v="2014-01-27T00:00:00"/>
    <x v="3"/>
    <x v="2"/>
    <x v="283"/>
    <x v="0"/>
    <s v="Zac Efron"/>
    <s v="Michael B. Jordan"/>
    <s v="Miles Teller"/>
    <s v="Imogen Poots"/>
    <s v="Jessica Lucas"/>
    <x v="15"/>
    <n v="40500000"/>
    <n v="32500000"/>
    <x v="319"/>
    <x v="0"/>
  </r>
  <r>
    <x v="333"/>
    <d v="2015-08-06T00:00:00"/>
    <x v="4"/>
    <x v="4"/>
    <x v="185"/>
    <x v="0"/>
    <s v="Antonio Banderas"/>
    <s v="Rodrigo Santoro"/>
    <s v="Juliette Binoche"/>
    <s v="James Brolin"/>
    <s v="Lou Diamond Phillips"/>
    <x v="107"/>
    <n v="24900000"/>
    <n v="-1100000"/>
    <x v="320"/>
    <x v="3"/>
  </r>
  <r>
    <x v="334"/>
    <d v="2016-01-22T00:00:00"/>
    <x v="0"/>
    <x v="8"/>
    <x v="284"/>
    <x v="0"/>
    <s v="Chloë Grace Moretz"/>
    <s v="Nick Robinson"/>
    <s v="Alex Roe"/>
    <s v="Liev Schreiber"/>
    <s v="Maika Monroe"/>
    <x v="18"/>
    <n v="110700000"/>
    <n v="75700000"/>
    <x v="321"/>
    <x v="2"/>
  </r>
  <r>
    <x v="335"/>
    <d v="2015-04-24T00:00:00"/>
    <x v="4"/>
    <x v="9"/>
    <x v="285"/>
    <x v="0"/>
    <s v="Blake Lively"/>
    <s v="Michiel Huisman"/>
    <s v="Harrison Ford"/>
    <s v="Ellen Burstyn"/>
    <s v="Amanda Crew"/>
    <x v="61"/>
    <n v="65700000"/>
    <n v="40700000"/>
    <x v="322"/>
    <x v="2"/>
  </r>
  <r>
    <x v="336"/>
    <d v="2012-07-03T00:00:00"/>
    <x v="2"/>
    <x v="1"/>
    <x v="286"/>
    <x v="0"/>
    <s v="Andrew Garfield"/>
    <s v="Emma Stone"/>
    <s v="Max Charles"/>
    <s v="Martin Sheen"/>
    <s v="Sally Field"/>
    <x v="124"/>
    <n v="757900000"/>
    <n v="527900000"/>
    <x v="323"/>
    <x v="2"/>
  </r>
  <r>
    <x v="337"/>
    <d v="2016-05-05T00:00:00"/>
    <x v="0"/>
    <x v="2"/>
    <x v="287"/>
    <x v="27"/>
    <s v="Jason Sudeikis"/>
    <s v="Josh Gad"/>
    <s v="Danny McBride"/>
    <s v="Bill Hader"/>
    <s v="Maya Rudolph"/>
    <x v="125"/>
    <n v="346900000"/>
    <n v="273900000"/>
    <x v="324"/>
    <x v="0"/>
  </r>
  <r>
    <x v="338"/>
    <d v="2012-05-04T00:00:00"/>
    <x v="2"/>
    <x v="2"/>
    <x v="288"/>
    <x v="0"/>
    <s v="Judi Dench"/>
    <s v="Bill Nighy"/>
    <s v="Dev Patel"/>
    <s v="Tom Wilkinson"/>
    <s v="Maggie Smith"/>
    <x v="35"/>
    <n v="136800000"/>
    <n v="126800000"/>
    <x v="325"/>
    <x v="0"/>
  </r>
  <r>
    <x v="339"/>
    <d v="2015-12-11T00:00:00"/>
    <x v="4"/>
    <x v="3"/>
    <x v="289"/>
    <x v="0"/>
    <s v="Religious Bale"/>
    <s v="Steve Carell"/>
    <s v="Ryan Gosling"/>
    <s v="Brad Pitt"/>
    <s v="Melissa Leo"/>
    <x v="14"/>
    <n v="133300000"/>
    <n v="105300000"/>
    <x v="326"/>
    <x v="0"/>
  </r>
  <r>
    <x v="340"/>
    <d v="2013-06-14T00:00:00"/>
    <x v="1"/>
    <x v="2"/>
    <x v="290"/>
    <x v="0"/>
    <s v="Emma Watson"/>
    <s v="Israel Broussard"/>
    <s v="Katie Chang"/>
    <s v="Claire Julien"/>
    <s v="Taissa Farmiga"/>
    <x v="15"/>
    <n v="19100000"/>
    <n v="11100000"/>
    <x v="327"/>
    <x v="2"/>
  </r>
  <r>
    <x v="341"/>
    <d v="2014-10-12T00:00:00"/>
    <x v="3"/>
    <x v="13"/>
    <x v="291"/>
    <x v="0"/>
    <s v="Christina Applegate"/>
    <s v="Diego Luna"/>
    <s v="Zoe Saldana"/>
    <s v="Channing Tatum"/>
    <s v=""/>
    <x v="21"/>
    <n v="99800000"/>
    <n v="49800000"/>
    <x v="328"/>
    <x v="1"/>
  </r>
  <r>
    <x v="342"/>
    <d v="2016-04-08T00:00:00"/>
    <x v="0"/>
    <x v="2"/>
    <x v="278"/>
    <x v="0"/>
    <s v="Melissa McCarthy"/>
    <s v="Kristen Bell"/>
    <s v="Peter Dinklage"/>
    <s v="Tyler Labine"/>
    <s v="Kristen Schaal"/>
    <x v="109"/>
    <n v="78600000"/>
    <n v="49600000"/>
    <x v="329"/>
    <x v="2"/>
  </r>
  <r>
    <x v="343"/>
    <d v="2012-08-10T00:00:00"/>
    <x v="2"/>
    <x v="1"/>
    <x v="292"/>
    <x v="0"/>
    <s v="Jeremy Renner"/>
    <s v="Rachel Weisz"/>
    <s v="Edward Norton"/>
    <s v="Oscar Isaac"/>
    <s v="Joan Allen"/>
    <x v="105"/>
    <n v="276100000"/>
    <n v="151100000"/>
    <x v="330"/>
    <x v="2"/>
  </r>
  <r>
    <x v="344"/>
    <d v="2014-08-31T00:00:00"/>
    <x v="3"/>
    <x v="13"/>
    <x v="293"/>
    <x v="28"/>
    <s v="Ben Kingsley"/>
    <s v="Toni Collette"/>
    <s v="Elle Fanning"/>
    <s v="Isaac Hempstead-Wright"/>
    <s v="Jared Harris"/>
    <x v="31"/>
    <n v="109300000"/>
    <n v="49300000"/>
    <x v="331"/>
    <x v="1"/>
  </r>
  <r>
    <x v="345"/>
    <d v="2016-01-22T00:00:00"/>
    <x v="0"/>
    <x v="7"/>
    <x v="294"/>
    <x v="0"/>
    <s v="Lauren Cohan"/>
    <s v="Rupert Evans"/>
    <s v="Jim Norton"/>
    <s v="Diana Hardcastle"/>
    <s v=""/>
    <x v="35"/>
    <n v="64200000"/>
    <n v="54200000"/>
    <x v="332"/>
    <x v="0"/>
  </r>
  <r>
    <x v="346"/>
    <d v="2013-08-16T00:00:00"/>
    <x v="1"/>
    <x v="4"/>
    <x v="295"/>
    <x v="0"/>
    <s v="Forest Whitaker"/>
    <s v="Oprah Winfrey"/>
    <s v="David Oyelowo"/>
    <s v="Liam Neeson"/>
    <s v="John Cusack"/>
    <x v="54"/>
    <n v="176600000"/>
    <n v="146600000"/>
    <x v="333"/>
    <x v="0"/>
  </r>
  <r>
    <x v="347"/>
    <d v="2012-04-13T00:00:00"/>
    <x v="2"/>
    <x v="7"/>
    <x v="296"/>
    <x v="0"/>
    <s v="Richard Jenkins"/>
    <s v="Bradley Whitford"/>
    <s v="Jesse Williams"/>
    <s v="Chris Hemsworth"/>
    <s v="Kristen Connolly"/>
    <x v="54"/>
    <n v="66500000"/>
    <n v="36500000"/>
    <x v="334"/>
    <x v="2"/>
  </r>
  <r>
    <x v="348"/>
    <d v="2013-03-15T00:00:00"/>
    <x v="1"/>
    <x v="12"/>
    <x v="297"/>
    <x v="0"/>
    <s v="Abigail Breslin"/>
    <s v="Halle Berry"/>
    <s v="Morris Chestnut"/>
    <s v="Michael Eklund"/>
    <s v="Michael Imperioli"/>
    <x v="62"/>
    <n v="68600000"/>
    <n v="55600000"/>
    <x v="335"/>
    <x v="0"/>
  </r>
  <r>
    <x v="349"/>
    <d v="2012-08-10T00:00:00"/>
    <x v="2"/>
    <x v="2"/>
    <x v="298"/>
    <x v="0"/>
    <s v="Will Ferrell"/>
    <s v="Zach Galifianakis"/>
    <s v="Jason Sudeikis"/>
    <s v="Katherine LaNasa"/>
    <s v="Dylan McDermott"/>
    <x v="85"/>
    <n v="104900000"/>
    <n v="9900000"/>
    <x v="336"/>
    <x v="1"/>
  </r>
  <r>
    <x v="350"/>
    <d v="2012-09-07T00:00:00"/>
    <x v="2"/>
    <x v="1"/>
    <x v="299"/>
    <x v="0"/>
    <s v="Henry Cavill"/>
    <s v="Bruce Willis"/>
    <s v="Sigourney Weaver"/>
    <s v="Veronica Echegui"/>
    <s v="Roschoy Zem"/>
    <x v="13"/>
    <n v="16900000"/>
    <n v="-3100000"/>
    <x v="337"/>
    <x v="3"/>
  </r>
  <r>
    <x v="351"/>
    <d v="2012-11-30T00:00:00"/>
    <x v="2"/>
    <x v="7"/>
    <x v="300"/>
    <x v="0"/>
    <s v="Josh Stewart"/>
    <s v="Emma Fitzpatrick"/>
    <s v=""/>
    <s v=""/>
    <s v=""/>
    <x v="35"/>
    <n v="8900000"/>
    <n v="-1100000"/>
    <x v="338"/>
    <x v="3"/>
  </r>
  <r>
    <x v="352"/>
    <d v="2013-07-19T00:00:00"/>
    <x v="1"/>
    <x v="0"/>
    <x v="140"/>
    <x v="0"/>
    <s v="Patrick Wilson"/>
    <s v="Vera Farmiga"/>
    <s v="Ron Livingston"/>
    <s v="Lili Taylor"/>
    <s v="Shannon Kook"/>
    <x v="13"/>
    <n v="318000000"/>
    <n v="298000000"/>
    <x v="339"/>
    <x v="0"/>
  </r>
  <r>
    <x v="353"/>
    <d v="2016-06-07T00:00:00"/>
    <x v="0"/>
    <x v="7"/>
    <x v="140"/>
    <x v="0"/>
    <s v="Patrick Wilson"/>
    <s v="Vera Farmiga"/>
    <s v=""/>
    <s v=""/>
    <s v=""/>
    <x v="6"/>
    <n v="319500000"/>
    <n v="279500000"/>
    <x v="340"/>
    <x v="0"/>
  </r>
  <r>
    <x v="354"/>
    <d v="2013-03-22T00:00:00"/>
    <x v="1"/>
    <x v="6"/>
    <x v="301"/>
    <x v="29"/>
    <s v="Nicolas Cage"/>
    <s v="Ryan Reynolds"/>
    <s v="Emma Stone"/>
    <s v="Catherine Keener"/>
    <s v="Clark Duke"/>
    <x v="82"/>
    <n v="587200000"/>
    <n v="452200000"/>
    <x v="341"/>
    <x v="0"/>
  </r>
  <r>
    <x v="355"/>
    <d v="2015-09-05T00:00:00"/>
    <x v="4"/>
    <x v="4"/>
    <x v="164"/>
    <x v="0"/>
    <s v="Eddie Redmayne"/>
    <s v="Alicia Vikander"/>
    <s v="Matthias Schoenaerts"/>
    <s v="Ben Whishaw"/>
    <s v=""/>
    <x v="0"/>
    <n v="64200000"/>
    <n v="49200000"/>
    <x v="342"/>
    <x v="0"/>
  </r>
  <r>
    <x v="356"/>
    <d v="2016-05-13T00:00:00"/>
    <x v="0"/>
    <x v="7"/>
    <x v="302"/>
    <x v="0"/>
    <s v="Kevin Bacon"/>
    <s v="Radha Mitchell"/>
    <s v="David Mazouz"/>
    <s v="Lucy Fry"/>
    <s v="Matt Walsh"/>
    <x v="11"/>
    <n v="10900000"/>
    <n v="6900000"/>
    <x v="343"/>
    <x v="2"/>
  </r>
  <r>
    <x v="357"/>
    <d v="2012-01-06T00:00:00"/>
    <x v="2"/>
    <x v="7"/>
    <x v="294"/>
    <x v="0"/>
    <s v="Suzan Crowley"/>
    <s v="Fernanda Andrade"/>
    <s v="Simon Quarterman"/>
    <s v="Evan Helmuth"/>
    <s v=""/>
    <x v="45"/>
    <n v="101800000"/>
    <n v="100800000"/>
    <x v="344"/>
    <x v="0"/>
  </r>
  <r>
    <x v="358"/>
    <d v="2012-05-16T00:00:00"/>
    <x v="2"/>
    <x v="2"/>
    <x v="303"/>
    <x v="0"/>
    <s v="Sacha Baron Cohen"/>
    <s v="Ben Kingsley"/>
    <s v="Anna Faris"/>
    <s v="Megan Fox"/>
    <s v="John C. Reilly"/>
    <x v="25"/>
    <n v="179400000"/>
    <n v="114400000"/>
    <x v="345"/>
    <x v="2"/>
  </r>
  <r>
    <x v="359"/>
    <d v="2016-03-18T00:00:00"/>
    <x v="0"/>
    <x v="6"/>
    <x v="237"/>
    <x v="0"/>
    <s v="Shailene Woodley"/>
    <s v="Theo James"/>
    <s v="Naomi Watts"/>
    <s v="Jeff Daniels"/>
    <s v="Ansel Elgort"/>
    <x v="5"/>
    <n v="179200000"/>
    <n v="69200000"/>
    <x v="346"/>
    <x v="1"/>
  </r>
  <r>
    <x v="360"/>
    <d v="2015-03-19T00:00:00"/>
    <x v="4"/>
    <x v="8"/>
    <x v="237"/>
    <x v="0"/>
    <s v="Shailene Woodley"/>
    <s v="Kate Winslet"/>
    <s v="Theo James"/>
    <s v="Ansel Elgort"/>
    <s v="Naomi Watts"/>
    <x v="5"/>
    <n v="297300000"/>
    <n v="187300000"/>
    <x v="347"/>
    <x v="2"/>
  </r>
  <r>
    <x v="361"/>
    <d v="2014-09-12T00:00:00"/>
    <x v="3"/>
    <x v="4"/>
    <x v="304"/>
    <x v="0"/>
    <s v="Tom Hardy"/>
    <s v="Noomi Rapace"/>
    <s v="James Gandolfini"/>
    <s v="Matthias Schoenaerts"/>
    <s v="John Ortiz"/>
    <x v="126"/>
    <n v="18700000"/>
    <n v="6100000"/>
    <x v="348"/>
    <x v="1"/>
  </r>
  <r>
    <x v="362"/>
    <d v="2015-02-12T00:00:00"/>
    <x v="4"/>
    <x v="2"/>
    <x v="305"/>
    <x v="0"/>
    <s v="Mae Whitman"/>
    <s v="Robbie Amell"/>
    <s v="Bella Thorne"/>
    <s v="Bianca A. Santos"/>
    <s v="Allison Janney"/>
    <x v="102"/>
    <n v="43500000"/>
    <n v="35000000"/>
    <x v="349"/>
    <x v="0"/>
  </r>
  <r>
    <x v="363"/>
    <d v="2013-05-31T00:00:00"/>
    <x v="1"/>
    <x v="5"/>
    <x v="306"/>
    <x v="0"/>
    <s v="Brit Marling"/>
    <s v="Alexander Skarsgard"/>
    <s v="Ellen Page"/>
    <s v="Julia Ormond"/>
    <s v="Patricia Clarkson"/>
    <x v="24"/>
    <n v="2400000"/>
    <n v="-4100000"/>
    <x v="350"/>
    <x v="3"/>
  </r>
  <r>
    <x v="364"/>
    <d v="2014-09-07T00:00:00"/>
    <x v="3"/>
    <x v="0"/>
    <x v="208"/>
    <x v="0"/>
    <s v="Denzel Washington"/>
    <s v="Chloë Grace Moretz"/>
    <s v="Marton Csokas"/>
    <s v="David Harbour"/>
    <s v="Bill Pullman"/>
    <x v="3"/>
    <n v="192300000"/>
    <n v="137300000"/>
    <x v="351"/>
    <x v="2"/>
  </r>
  <r>
    <x v="365"/>
    <d v="2012-08-17T00:00:00"/>
    <x v="2"/>
    <x v="1"/>
    <x v="307"/>
    <x v="0"/>
    <s v="Sylvester Stallone"/>
    <s v="Jason Statham"/>
    <s v="Dolph Lundgren"/>
    <s v="Terry Crews"/>
    <s v="Randy Couture"/>
    <x v="33"/>
    <n v="305400000"/>
    <n v="205400000"/>
    <x v="352"/>
    <x v="2"/>
  </r>
  <r>
    <x v="366"/>
    <d v="2014-08-04T00:00:00"/>
    <x v="3"/>
    <x v="1"/>
    <x v="308"/>
    <x v="0"/>
    <s v="Sylvester Stallone"/>
    <s v="Arnold Schwarzenegger"/>
    <s v="Harrison Ford"/>
    <s v="Mel Gibson"/>
    <s v="Jason Statham"/>
    <x v="20"/>
    <n v="206200000"/>
    <n v="116200000"/>
    <x v="353"/>
    <x v="2"/>
  </r>
  <r>
    <x v="367"/>
    <d v="2013-09-13T00:00:00"/>
    <x v="1"/>
    <x v="5"/>
    <x v="173"/>
    <x v="0"/>
    <s v="Robert De Niro"/>
    <s v="Michelle Pfeiffer"/>
    <s v="Dianna Agron"/>
    <s v="Tommy Lee Jones"/>
    <s v="Vincent Pastore"/>
    <x v="54"/>
    <n v="78400000"/>
    <n v="48400000"/>
    <x v="354"/>
    <x v="2"/>
  </r>
  <r>
    <x v="368"/>
    <d v="2014-05-16T00:00:00"/>
    <x v="3"/>
    <x v="4"/>
    <x v="309"/>
    <x v="0"/>
    <s v="Shailene Woodley"/>
    <s v="Ansel Elgort"/>
    <s v=""/>
    <s v=""/>
    <s v=""/>
    <x v="62"/>
    <n v="307200000"/>
    <n v="294200000"/>
    <x v="355"/>
    <x v="0"/>
  </r>
  <r>
    <x v="369"/>
    <d v="2012-04-27T00:00:00"/>
    <x v="2"/>
    <x v="2"/>
    <x v="198"/>
    <x v="0"/>
    <s v="Jason Segel"/>
    <s v="Emily Blunt"/>
    <s v="Chris Pratt"/>
    <s v="Alison Brie"/>
    <s v="Rhys Ifans"/>
    <x v="54"/>
    <n v="53900000"/>
    <n v="23900000"/>
    <x v="356"/>
    <x v="1"/>
  </r>
  <r>
    <x v="370"/>
    <d v="2016-01-08T00:00:00"/>
    <x v="0"/>
    <x v="7"/>
    <x v="310"/>
    <x v="0"/>
    <s v="Natalie Dormer"/>
    <s v="Taylor Kinney"/>
    <s v=""/>
    <s v=""/>
    <s v=""/>
    <x v="35"/>
    <n v="37600000"/>
    <n v="27600000"/>
    <x v="357"/>
    <x v="2"/>
  </r>
  <r>
    <x v="371"/>
    <d v="2015-07-30T00:00:00"/>
    <x v="4"/>
    <x v="0"/>
    <x v="311"/>
    <x v="0"/>
    <s v="Jason Bateman"/>
    <s v="Rebecca Hall"/>
    <s v="Joel Edgerton"/>
    <s v=""/>
    <s v=""/>
    <x v="8"/>
    <n v="59000000"/>
    <n v="54000000"/>
    <x v="358"/>
    <x v="0"/>
  </r>
  <r>
    <x v="372"/>
    <d v="2014-08-11T00:00:00"/>
    <x v="3"/>
    <x v="8"/>
    <x v="312"/>
    <x v="0"/>
    <s v="Jeff Bridges"/>
    <s v="Brenton Thwaites"/>
    <s v="Meryl Streep"/>
    <s v="Alexander Skarsgård"/>
    <s v="Katie Holmes"/>
    <x v="61"/>
    <n v="67000000"/>
    <n v="42000000"/>
    <x v="359"/>
    <x v="2"/>
  </r>
  <r>
    <x v="373"/>
    <d v="2014-02-06T00:00:00"/>
    <x v="3"/>
    <x v="2"/>
    <x v="190"/>
    <x v="0"/>
    <s v="Ralph Fiennes"/>
    <s v="Tony Revolori"/>
    <s v="F. Murray Abraham"/>
    <s v="Mathieu Amalric"/>
    <s v="Adrien Brody"/>
    <x v="39"/>
    <n v="174800000"/>
    <n v="151800000"/>
    <x v="360"/>
    <x v="0"/>
  </r>
  <r>
    <x v="374"/>
    <d v="2013-05-10T00:00:00"/>
    <x v="1"/>
    <x v="4"/>
    <x v="313"/>
    <x v="0"/>
    <s v="Leonardo DiCaprio"/>
    <s v="Tobey Maguire"/>
    <s v="Joel Edgerton"/>
    <s v="Carey Mulligan"/>
    <s v="Isla Fisher"/>
    <x v="84"/>
    <n v="351000000"/>
    <n v="246000000"/>
    <x v="361"/>
    <x v="2"/>
  </r>
  <r>
    <x v="375"/>
    <d v="2012-01-27T00:00:00"/>
    <x v="2"/>
    <x v="1"/>
    <x v="314"/>
    <x v="0"/>
    <s v="Liam Neeson"/>
    <s v="Frank Grillo"/>
    <s v="Dermot Mulroney"/>
    <s v="Dallas Roberts"/>
    <s v=""/>
    <x v="61"/>
    <n v="77300000"/>
    <n v="52300000"/>
    <x v="362"/>
    <x v="2"/>
  </r>
  <r>
    <x v="376"/>
    <d v="2015-03-20T00:00:00"/>
    <x v="4"/>
    <x v="0"/>
    <x v="315"/>
    <x v="0"/>
    <s v="Sean Penn"/>
    <s v="Javier Bardem"/>
    <s v="Ray Winstone"/>
    <s v="Idris Elba"/>
    <s v="Mark Rylance"/>
    <x v="6"/>
    <n v="24200000"/>
    <n v="-15800000"/>
    <x v="363"/>
    <x v="3"/>
  </r>
  <r>
    <x v="377"/>
    <d v="2013-05-23T00:00:00"/>
    <x v="1"/>
    <x v="2"/>
    <x v="316"/>
    <x v="0"/>
    <s v="Bradley Cooper"/>
    <s v="Zach Galifianakis"/>
    <s v="Ed Helms"/>
    <s v="Justin Bartha"/>
    <s v="Ken Jeong"/>
    <x v="113"/>
    <n v="362000000"/>
    <n v="259000000"/>
    <x v="364"/>
    <x v="2"/>
  </r>
  <r>
    <x v="378"/>
    <d v="2015-12-25T00:00:00"/>
    <x v="4"/>
    <x v="4"/>
    <x v="82"/>
    <x v="0"/>
    <s v="Samuel L. Jackson"/>
    <s v="Kurt Russell"/>
    <s v="Jennifer Jason Leigh"/>
    <s v="Walton Goggins"/>
    <s v="Tim Roth"/>
    <x v="127"/>
    <n v="155800000"/>
    <n v="111800000"/>
    <x v="365"/>
    <x v="2"/>
  </r>
  <r>
    <x v="379"/>
    <d v="2013-06-28T00:00:00"/>
    <x v="1"/>
    <x v="1"/>
    <x v="113"/>
    <x v="0"/>
    <s v="Sandra Bullock"/>
    <s v="Melissa McCarthy"/>
    <s v="Kaitlin Olson"/>
    <s v="Tony Hale"/>
    <s v="Demian Bichir"/>
    <x v="121"/>
    <n v="229900000"/>
    <n v="186900000"/>
    <x v="366"/>
    <x v="0"/>
  </r>
  <r>
    <x v="380"/>
    <d v="2014-12-01T00:00:00"/>
    <x v="3"/>
    <x v="6"/>
    <x v="317"/>
    <x v="0"/>
    <s v="Ian McKellen"/>
    <s v="Martin Freeman"/>
    <s v="Richard Armitage"/>
    <s v="Evangeline Lilly"/>
    <s v="Luke Evans"/>
    <x v="27"/>
    <n v="956000000"/>
    <n v="706000000"/>
    <x v="367"/>
    <x v="2"/>
  </r>
  <r>
    <x v="381"/>
    <d v="2013-03-29T00:00:00"/>
    <x v="1"/>
    <x v="8"/>
    <x v="318"/>
    <x v="0"/>
    <s v="Saoirse Ronan"/>
    <s v="Max Irons"/>
    <s v="Jake Abel"/>
    <s v="Diane Kruger"/>
    <s v="William Hurt"/>
    <x v="6"/>
    <n v="63300000"/>
    <n v="23300000"/>
    <x v="368"/>
    <x v="1"/>
  </r>
  <r>
    <x v="382"/>
    <d v="2014-08-08T00:00:00"/>
    <x v="3"/>
    <x v="4"/>
    <x v="256"/>
    <x v="0"/>
    <s v="Helen Mirren"/>
    <s v="Manish Dayal"/>
    <s v=""/>
    <s v=""/>
    <s v=""/>
    <x v="32"/>
    <n v="88900000"/>
    <n v="66900000"/>
    <x v="369"/>
    <x v="0"/>
  </r>
  <r>
    <x v="383"/>
    <d v="2012-03-23T00:00:00"/>
    <x v="2"/>
    <x v="1"/>
    <x v="104"/>
    <x v="0"/>
    <s v="Jennifer Lawrence"/>
    <s v="Josh Hutcherson"/>
    <s v="Liam Hemsworth"/>
    <s v="Wes Bentley"/>
    <s v="Elizabeth Banks"/>
    <x v="48"/>
    <n v="694400000"/>
    <n v="616400000"/>
    <x v="370"/>
    <x v="0"/>
  </r>
  <r>
    <x v="384"/>
    <d v="2014-11-10T00:00:00"/>
    <x v="3"/>
    <x v="8"/>
    <x v="319"/>
    <x v="0"/>
    <s v="Jennifer Lawrence"/>
    <s v="Josh Hutcherson"/>
    <s v="Woody Harrelson"/>
    <s v="Julianne Moore"/>
    <s v="Donald Sutherland"/>
    <x v="105"/>
    <n v="755400000"/>
    <n v="630400000"/>
    <x v="371"/>
    <x v="0"/>
  </r>
  <r>
    <x v="385"/>
    <d v="2015-11-04T00:00:00"/>
    <x v="4"/>
    <x v="8"/>
    <x v="319"/>
    <x v="0"/>
    <s v="Jennifer Lawrence"/>
    <s v="Josh Hutcherson"/>
    <s v="Liam Hemsworth"/>
    <s v="Woody Harrelson"/>
    <s v="Elizabeth Banks"/>
    <x v="70"/>
    <n v="653400000"/>
    <n v="493400000"/>
    <x v="372"/>
    <x v="0"/>
  </r>
  <r>
    <x v="386"/>
    <d v="2016-04-22T00:00:00"/>
    <x v="0"/>
    <x v="11"/>
    <x v="320"/>
    <x v="0"/>
    <s v="Chris Hemsworth"/>
    <s v="Charlize Theron"/>
    <s v="Emily Blunt"/>
    <s v="Jessica Chastain"/>
    <s v="Nick Frost"/>
    <x v="64"/>
    <n v="164600000"/>
    <n v="49600000"/>
    <x v="373"/>
    <x v="1"/>
  </r>
  <r>
    <x v="387"/>
    <d v="2013-05-03T00:00:00"/>
    <x v="1"/>
    <x v="4"/>
    <x v="68"/>
    <x v="0"/>
    <s v="Morgan Land (screenplay)"/>
    <s v="Michael Shannon"/>
    <s v="Winona Ryder"/>
    <s v="Chris Evans"/>
    <s v="Ray Liotta"/>
    <x v="35"/>
    <n v="4400000"/>
    <n v="-5600000"/>
    <x v="374"/>
    <x v="3"/>
  </r>
  <r>
    <x v="388"/>
    <d v="2014-04-17T00:00:00"/>
    <x v="3"/>
    <x v="14"/>
    <x v="321"/>
    <x v="0"/>
    <s v="Ray Liotta"/>
    <s v="Ashley Judd"/>
    <s v="Seth Green"/>
    <s v="Brian Geraghty"/>
    <s v="Joe Pantoliano"/>
    <x v="92"/>
    <n v="2800000"/>
    <n v="-13200000"/>
    <x v="375"/>
    <x v="3"/>
  </r>
  <r>
    <x v="389"/>
    <d v="2014-08-29T00:00:00"/>
    <x v="3"/>
    <x v="4"/>
    <x v="322"/>
    <x v="0"/>
    <s v="Benedict Cumberbatch"/>
    <s v="Keira Knightley"/>
    <s v="Matthew Goode"/>
    <s v="Rory Kinnear"/>
    <s v="Allen Leech"/>
    <x v="74"/>
    <n v="233600000"/>
    <n v="219600000"/>
    <x v="376"/>
    <x v="0"/>
  </r>
  <r>
    <x v="390"/>
    <d v="2012-12-21T00:00:00"/>
    <x v="2"/>
    <x v="4"/>
    <x v="323"/>
    <x v="0"/>
    <s v="Naomi Watts"/>
    <s v="Ewan McGregor"/>
    <s v=""/>
    <s v=""/>
    <s v=""/>
    <x v="1"/>
    <n v="180300000"/>
    <n v="135300000"/>
    <x v="377"/>
    <x v="0"/>
  </r>
  <r>
    <x v="391"/>
    <d v="2013-03-15T00:00:00"/>
    <x v="1"/>
    <x v="2"/>
    <x v="324"/>
    <x v="0"/>
    <s v="Steve Carell"/>
    <s v="Jim Carrey"/>
    <s v="Steve Buscemi"/>
    <s v="Olivia Wilde"/>
    <s v="James Gandolfini"/>
    <x v="128"/>
    <n v="27400000"/>
    <n v="-6600000"/>
    <x v="378"/>
    <x v="3"/>
  </r>
  <r>
    <x v="392"/>
    <d v="2016-07-13T00:00:00"/>
    <x v="0"/>
    <x v="4"/>
    <x v="255"/>
    <x v="0"/>
    <s v="Bryan Cranston"/>
    <s v="Diane Kruger"/>
    <s v="Benjamin Bratt"/>
    <s v="John Leguizamo"/>
    <s v="Amy Ryan"/>
    <x v="129"/>
    <n v="15200000"/>
    <n v="-32300000"/>
    <x v="379"/>
    <x v="3"/>
  </r>
  <r>
    <x v="393"/>
    <d v="2015-09-15T00:00:00"/>
    <x v="4"/>
    <x v="2"/>
    <x v="325"/>
    <x v="0"/>
    <s v="Robert De Niro"/>
    <s v="Anne Hathaway"/>
    <s v="Rene Russo"/>
    <s v="Adam DeVine"/>
    <s v="Anders Holm"/>
    <x v="127"/>
    <n v="194600000"/>
    <n v="150600000"/>
    <x v="380"/>
    <x v="0"/>
  </r>
  <r>
    <x v="394"/>
    <d v="2013-06-07T00:00:00"/>
    <x v="1"/>
    <x v="2"/>
    <x v="200"/>
    <x v="0"/>
    <s v="Vince Vaughn"/>
    <s v="Owen Wilson"/>
    <s v="Dylan O'Brien"/>
    <s v="Rose Byrne"/>
    <s v="Jessica Szohr"/>
    <x v="55"/>
    <n v="93000000"/>
    <n v="35000000"/>
    <x v="381"/>
    <x v="1"/>
  </r>
  <r>
    <x v="395"/>
    <d v="2014-12-11T00:00:00"/>
    <x v="3"/>
    <x v="1"/>
    <x v="326"/>
    <x v="30"/>
    <s v="Seth Rogen"/>
    <s v="James Franco"/>
    <s v="Lizzy Caplan"/>
    <s v=""/>
    <s v=""/>
    <x v="127"/>
    <n v="11300000"/>
    <n v="-32700000"/>
    <x v="382"/>
    <x v="3"/>
  </r>
  <r>
    <x v="396"/>
    <d v="2014-09-04T00:00:00"/>
    <x v="3"/>
    <x v="2"/>
    <x v="327"/>
    <x v="0"/>
    <s v="Robert Downey"/>
    <s v="Jr."/>
    <s v="Robert Duvall"/>
    <s v="Vera Farmiga"/>
    <s v="Billy Bob Thornton"/>
    <x v="21"/>
    <n v="84400000"/>
    <n v="34400000"/>
    <x v="383"/>
    <x v="1"/>
  </r>
  <r>
    <x v="397"/>
    <d v="2015-12-04T00:00:00"/>
    <x v="4"/>
    <x v="2"/>
    <x v="328"/>
    <x v="0"/>
    <s v="Maggie Smith"/>
    <s v="Alex Jennings"/>
    <s v="Jim Broadbent"/>
    <s v="Frances de la Tour"/>
    <s v="Roger Allam"/>
    <x v="130"/>
    <n v="41400000"/>
    <n v="35400000"/>
    <x v="384"/>
    <x v="0"/>
  </r>
  <r>
    <x v="398"/>
    <d v="2013-03-01T00:00:00"/>
    <x v="1"/>
    <x v="7"/>
    <x v="329"/>
    <x v="0"/>
    <s v="Ashley Bell"/>
    <s v="Spencer Treat Clark"/>
    <s v="Muse Watson"/>
    <s v="Louis Herthum"/>
    <s v="Judd Lormand"/>
    <x v="8"/>
    <n v="15100000"/>
    <n v="10100000"/>
    <x v="385"/>
    <x v="2"/>
  </r>
  <r>
    <x v="399"/>
    <d v="2013-01-18T00:00:00"/>
    <x v="1"/>
    <x v="1"/>
    <x v="330"/>
    <x v="0"/>
    <s v="Arnold Schwarzenegger"/>
    <s v="Forest Whitaker"/>
    <s v="Peter Stormare"/>
    <s v="Jaimie Alexander"/>
    <s v="Rodrigo Santoro"/>
    <x v="1"/>
    <n v="48300000"/>
    <n v="3300000"/>
    <x v="386"/>
    <x v="1"/>
  </r>
  <r>
    <x v="400"/>
    <d v="2015-10-23T00:00:00"/>
    <x v="4"/>
    <x v="1"/>
    <x v="331"/>
    <x v="0"/>
    <s v="Vin Diesel"/>
    <s v="Michael Caine"/>
    <s v="Rose Leslie"/>
    <s v="Elijah Wood"/>
    <s v=""/>
    <x v="20"/>
    <n v="140400000"/>
    <n v="50400000"/>
    <x v="387"/>
    <x v="1"/>
  </r>
  <r>
    <x v="401"/>
    <d v="2015-02-27T00:00:00"/>
    <x v="4"/>
    <x v="7"/>
    <x v="332"/>
    <x v="0"/>
    <s v="Olivia Wilde"/>
    <s v="Mark Duplass"/>
    <s v="Donald Glover"/>
    <s v=""/>
    <s v=""/>
    <x v="131"/>
    <n v="38400000"/>
    <n v="35100000"/>
    <x v="388"/>
    <x v="0"/>
  </r>
  <r>
    <x v="402"/>
    <d v="2014-01-10T00:00:00"/>
    <x v="3"/>
    <x v="1"/>
    <x v="333"/>
    <x v="0"/>
    <s v="Kellan Lutz"/>
    <s v="Gaia Weiss"/>
    <s v="Scott Adkins"/>
    <s v="Roxanne McKee"/>
    <s v="Liam Garrigan"/>
    <x v="37"/>
    <n v="61300000"/>
    <n v="-8700000"/>
    <x v="389"/>
    <x v="3"/>
  </r>
  <r>
    <x v="403"/>
    <d v="2016-07-01T00:00:00"/>
    <x v="0"/>
    <x v="1"/>
    <x v="334"/>
    <x v="0"/>
    <s v="Alexander Skarsgard"/>
    <s v="Margot Robbie"/>
    <s v="Christoph Waltz"/>
    <s v="Samuel L. Jackson"/>
    <s v="Djimon Hounsou"/>
    <x v="132"/>
    <n v="352700000"/>
    <n v="172700000"/>
    <x v="390"/>
    <x v="1"/>
  </r>
  <r>
    <x v="404"/>
    <d v="2014-02-01T00:00:00"/>
    <x v="3"/>
    <x v="13"/>
    <x v="3"/>
    <x v="1"/>
    <s v="Chris Pratt"/>
    <s v="Will Ferrell"/>
    <s v="Elizabeth Banks"/>
    <s v="Will Arnett"/>
    <s v="Nick Offerman"/>
    <x v="31"/>
    <n v="469200000"/>
    <n v="409200000"/>
    <x v="391"/>
    <x v="0"/>
  </r>
  <r>
    <x v="405"/>
    <d v="2015-12-04T00:00:00"/>
    <x v="4"/>
    <x v="4"/>
    <x v="335"/>
    <x v="0"/>
    <s v="Juliet Stevenson"/>
    <s v="Max von Sydow"/>
    <s v="Rutger Hauer"/>
    <s v="Priya Darshini"/>
    <s v=""/>
    <x v="45"/>
    <n v="1600000"/>
    <n v="600000"/>
    <x v="392"/>
    <x v="1"/>
  </r>
  <r>
    <x v="406"/>
    <d v="2012-04-20T00:00:00"/>
    <x v="2"/>
    <x v="4"/>
    <x v="336"/>
    <x v="0"/>
    <s v="Zac Efron"/>
    <s v="Taylor Schilling"/>
    <s v="Jay R. Ferguson"/>
    <s v="Riley Thomas Stewart"/>
    <s v="Adam Lefevre"/>
    <x v="61"/>
    <n v="99400000"/>
    <n v="74400000"/>
    <x v="393"/>
    <x v="2"/>
  </r>
  <r>
    <x v="407"/>
    <d v="2015-08-07T00:00:00"/>
    <x v="4"/>
    <x v="1"/>
    <x v="337"/>
    <x v="0"/>
    <s v="Henry Cavill"/>
    <s v="Armie Hammer"/>
    <s v="Elizabeth Debicki"/>
    <s v="Alicia Vikander"/>
    <s v="Hugh Grant"/>
    <x v="76"/>
    <n v="109800000"/>
    <n v="34800000"/>
    <x v="394"/>
    <x v="1"/>
  </r>
  <r>
    <x v="408"/>
    <d v="2012-11-02T00:00:00"/>
    <x v="2"/>
    <x v="1"/>
    <x v="338"/>
    <x v="0"/>
    <s v="Russell Crowe"/>
    <s v="Lucy Liu"/>
    <s v="David Bautista"/>
    <s v="RZA"/>
    <s v="Byron Mann"/>
    <x v="13"/>
    <n v="20300000"/>
    <n v="300000"/>
    <x v="395"/>
    <x v="1"/>
  </r>
  <r>
    <x v="409"/>
    <d v="2015-09-11T00:00:00"/>
    <x v="4"/>
    <x v="8"/>
    <x v="235"/>
    <x v="0"/>
    <s v="Matt Damon"/>
    <s v="Jeff Daniels"/>
    <s v="Kristen Wiig"/>
    <s v="Sean Bean"/>
    <s v="Jessica Chastain"/>
    <x v="133"/>
    <n v="630200000"/>
    <n v="522200000"/>
    <x v="396"/>
    <x v="0"/>
  </r>
  <r>
    <x v="410"/>
    <d v="2012-09-14T00:00:00"/>
    <x v="2"/>
    <x v="4"/>
    <x v="339"/>
    <x v="0"/>
    <s v="Philip Seymour Hoffman"/>
    <s v="Joaquin Phoenix"/>
    <s v="Jesse Plemons"/>
    <s v="David Warshofsky"/>
    <s v="Amy Adams"/>
    <x v="134"/>
    <n v="28300000"/>
    <n v="-3700000"/>
    <x v="397"/>
    <x v="3"/>
  </r>
  <r>
    <x v="411"/>
    <d v="2014-09-19T00:00:00"/>
    <x v="3"/>
    <x v="8"/>
    <x v="179"/>
    <x v="0"/>
    <s v="Dylan O'Brien"/>
    <s v="Will Poulter"/>
    <s v="Thomas Sangster"/>
    <s v="Aml Ameen"/>
    <s v="Kaya Scodelario"/>
    <x v="128"/>
    <n v="348300000"/>
    <n v="314300000"/>
    <x v="398"/>
    <x v="0"/>
  </r>
  <r>
    <x v="412"/>
    <d v="2016-02-08T00:00:00"/>
    <x v="0"/>
    <x v="8"/>
    <x v="340"/>
    <x v="0"/>
    <s v="Deng Chao"/>
    <s v="Lin Yun"/>
    <s v="Show Luo"/>
    <s v="Zhang Yuqi"/>
    <s v="Kris Wu"/>
    <x v="135"/>
    <n v="553800000"/>
    <n v="493080000"/>
    <x v="399"/>
    <x v="0"/>
  </r>
  <r>
    <x v="413"/>
    <d v="2014-02-07T00:00:00"/>
    <x v="3"/>
    <x v="4"/>
    <x v="341"/>
    <x v="0"/>
    <s v="George Clooney"/>
    <s v="Matt Damon"/>
    <s v="Bill Murray"/>
    <s v="John Goodman"/>
    <s v="Jean Dujardin"/>
    <x v="37"/>
    <n v="155000000"/>
    <n v="85000000"/>
    <x v="400"/>
    <x v="2"/>
  </r>
  <r>
    <x v="414"/>
    <d v="2013-08-21T00:00:00"/>
    <x v="1"/>
    <x v="1"/>
    <x v="342"/>
    <x v="0"/>
    <s v="Lily Collins"/>
    <s v="Jamie Campbell Bower"/>
    <s v="Robert Sheehan"/>
    <s v="Jemima West"/>
    <s v="Kevin Durand"/>
    <x v="31"/>
    <n v="90600000"/>
    <n v="30600000"/>
    <x v="401"/>
    <x v="1"/>
  </r>
  <r>
    <x v="415"/>
    <d v="2015-11-20T00:00:00"/>
    <x v="4"/>
    <x v="2"/>
    <x v="343"/>
    <x v="0"/>
    <s v="Joseph Gordon-Levitt"/>
    <s v="Seth Rogen"/>
    <s v="Anthony Mackie"/>
    <s v=""/>
    <s v=""/>
    <x v="61"/>
    <n v="52400000"/>
    <n v="27400000"/>
    <x v="402"/>
    <x v="2"/>
  </r>
  <r>
    <x v="416"/>
    <d v="2014-08-27T00:00:00"/>
    <x v="3"/>
    <x v="0"/>
    <x v="344"/>
    <x v="0"/>
    <s v="Pierce Brosnan"/>
    <s v="Olga Kurylenko"/>
    <s v="Luke Bracey"/>
    <s v="Bill Smitrovich"/>
    <s v="Will Patton"/>
    <x v="0"/>
    <n v="34800000"/>
    <n v="19800000"/>
    <x v="403"/>
    <x v="2"/>
  </r>
  <r>
    <x v="417"/>
    <d v="2014-01-11T00:00:00"/>
    <x v="3"/>
    <x v="13"/>
    <x v="345"/>
    <x v="0"/>
    <s v="Will Arnett"/>
    <s v="Katherine Heigl"/>
    <s v="Liam Neeson"/>
    <s v="Brendan Fraser"/>
    <s v="Gabriel Iglesias"/>
    <x v="136"/>
    <n v="120900000"/>
    <n v="78100000"/>
    <x v="404"/>
    <x v="2"/>
  </r>
  <r>
    <x v="418"/>
    <d v="2012-08-29T00:00:00"/>
    <x v="2"/>
    <x v="13"/>
    <x v="346"/>
    <x v="0"/>
    <s v="Toni Braxton"/>
    <s v="Cloris Leachman"/>
    <s v="Christopher Lloyd"/>
    <s v="Chazz Palminteri"/>
    <s v="Cary Elwes"/>
    <x v="13"/>
    <n v="1100000"/>
    <n v="-18900000"/>
    <x v="405"/>
    <x v="3"/>
  </r>
  <r>
    <x v="419"/>
    <d v="2014-03-31T00:00:00"/>
    <x v="3"/>
    <x v="2"/>
    <x v="347"/>
    <x v="0"/>
    <s v="Cameron Diaz"/>
    <s v="Leslie Mann"/>
    <s v="Kate Upton"/>
    <s v="Nikolaj Coster-Waldau"/>
    <s v="Taylor Kinney"/>
    <x v="6"/>
    <n v="196700000"/>
    <n v="156700000"/>
    <x v="406"/>
    <x v="0"/>
  </r>
  <r>
    <x v="420"/>
    <d v="2015-11-01T00:00:00"/>
    <x v="4"/>
    <x v="15"/>
    <x v="135"/>
    <x v="0"/>
    <s v="Bill Melendez"/>
    <s v="Noah Schnapp"/>
    <s v="Hadley Belle Miller"/>
    <s v="AJ Teece"/>
    <s v="Noah Johnston"/>
    <x v="137"/>
    <n v="246200000"/>
    <n v="147200000"/>
    <x v="407"/>
    <x v="2"/>
  </r>
  <r>
    <x v="421"/>
    <d v="2015-09-02T00:00:00"/>
    <x v="4"/>
    <x v="0"/>
    <x v="348"/>
    <x v="0"/>
    <s v="Sanaa Lathan"/>
    <s v="Michael Ealy"/>
    <s v="Morris Chestnut"/>
    <s v=""/>
    <s v=""/>
    <x v="38"/>
    <n v="60300000"/>
    <n v="42300000"/>
    <x v="408"/>
    <x v="2"/>
  </r>
  <r>
    <x v="422"/>
    <d v="2016-03-11T00:00:00"/>
    <x v="0"/>
    <x v="9"/>
    <x v="349"/>
    <x v="0"/>
    <s v="Terrence J"/>
    <s v="Cassie Ventura"/>
    <s v="Donald Faison"/>
    <s v="Dascha Polanco"/>
    <s v="Robert Christopher Riley"/>
    <x v="8"/>
    <n v="10400000"/>
    <n v="5400000"/>
    <x v="409"/>
    <x v="2"/>
  </r>
  <r>
    <x v="423"/>
    <d v="2012-09-21T00:00:00"/>
    <x v="2"/>
    <x v="4"/>
    <x v="350"/>
    <x v="0"/>
    <s v="Emma Watson"/>
    <s v="Logan Lerman"/>
    <s v="Mae Whitman"/>
    <s v="Nina Dobrev"/>
    <s v="Johnny Simmons"/>
    <x v="62"/>
    <n v="33400000"/>
    <n v="20400000"/>
    <x v="410"/>
    <x v="2"/>
  </r>
  <r>
    <x v="424"/>
    <d v="2012-04-27T00:00:00"/>
    <x v="2"/>
    <x v="2"/>
    <x v="351"/>
    <x v="31"/>
    <s v="Hugh Grant"/>
    <s v="Salma Hayek"/>
    <s v="Jeremy Piven"/>
    <s v="Imelda Staunton"/>
    <s v="David Tennant"/>
    <x v="3"/>
    <n v="123000000"/>
    <n v="68000000"/>
    <x v="411"/>
    <x v="2"/>
  </r>
  <r>
    <x v="425"/>
    <d v="2013-03-29T00:00:00"/>
    <x v="1"/>
    <x v="5"/>
    <x v="352"/>
    <x v="0"/>
    <s v="Ryan Gosling"/>
    <s v="Bradley Cooper"/>
    <s v="Rose Byrne"/>
    <s v="Eva Mendes"/>
    <s v="Ray Liotta"/>
    <x v="0"/>
    <n v="47000000"/>
    <n v="32000000"/>
    <x v="412"/>
    <x v="2"/>
  </r>
  <r>
    <x v="426"/>
    <d v="2012-08-31T00:00:00"/>
    <x v="2"/>
    <x v="7"/>
    <x v="353"/>
    <x v="0"/>
    <s v="Jeffrey Dean Morgan"/>
    <s v="Kyra Sedgwick"/>
    <s v=""/>
    <s v=""/>
    <s v=""/>
    <x v="74"/>
    <n v="78500000"/>
    <n v="64500000"/>
    <x v="413"/>
    <x v="0"/>
  </r>
  <r>
    <x v="427"/>
    <d v="2013-05-31T00:00:00"/>
    <x v="1"/>
    <x v="8"/>
    <x v="354"/>
    <x v="0"/>
    <s v="Ethan Hawke"/>
    <s v="Lena Headey"/>
    <s v="Max Burkholder"/>
    <s v="Tony Oller"/>
    <s v="Edwin Hodge"/>
    <x v="73"/>
    <n v="89300000"/>
    <n v="86300000"/>
    <x v="414"/>
    <x v="0"/>
  </r>
  <r>
    <x v="428"/>
    <d v="2016-07-01T00:00:00"/>
    <x v="0"/>
    <x v="7"/>
    <x v="354"/>
    <x v="0"/>
    <s v="Frank Grillo"/>
    <s v="Betty Gabriel"/>
    <s v="Edwin Hodge"/>
    <s v="Kyle Secor"/>
    <s v="Joseph Julian Soria"/>
    <x v="35"/>
    <n v="105600000"/>
    <n v="95600000"/>
    <x v="415"/>
    <x v="0"/>
  </r>
  <r>
    <x v="429"/>
    <d v="2014-01-21T00:00:00"/>
    <x v="3"/>
    <x v="1"/>
    <x v="355"/>
    <x v="0"/>
    <s v="Iko Uwais"/>
    <s v="Tio Pakusadewo"/>
    <s v="Arifin Putra"/>
    <s v="Julie Estelle"/>
    <s v="Alex Abbad"/>
    <x v="138"/>
    <n v="6600000"/>
    <n v="2100000"/>
    <x v="416"/>
    <x v="1"/>
  </r>
  <r>
    <x v="430"/>
    <d v="2012-03-23T00:00:00"/>
    <x v="2"/>
    <x v="1"/>
    <x v="355"/>
    <x v="0"/>
    <s v="Iko Uwais"/>
    <s v="Doni Alamsyah"/>
    <s v="Joe Taslim"/>
    <s v="Yayan Ruhian"/>
    <s v="Ray Sahetapy"/>
    <x v="139"/>
    <n v="9140000"/>
    <n v="8040000"/>
    <x v="417"/>
    <x v="0"/>
  </r>
  <r>
    <x v="431"/>
    <d v="2012-04-27T00:00:00"/>
    <x v="2"/>
    <x v="0"/>
    <x v="356"/>
    <x v="0"/>
    <s v="John Cusack"/>
    <s v="Alice Eve"/>
    <s v="Luke Evans"/>
    <s v="Brendan Gleeson"/>
    <s v="Oliver Jackson-Cohen"/>
    <x v="107"/>
    <n v="29700000"/>
    <n v="3700000"/>
    <x v="418"/>
    <x v="1"/>
  </r>
  <r>
    <x v="432"/>
    <d v="2015-12-25T00:00:00"/>
    <x v="4"/>
    <x v="0"/>
    <x v="357"/>
    <x v="0"/>
    <s v="Leonardo DiCaprio"/>
    <s v="Tom Hardy"/>
    <s v="Domhnall Gleeson"/>
    <s v="Will Poulter"/>
    <s v=""/>
    <x v="82"/>
    <n v="533000000"/>
    <n v="398000000"/>
    <x v="419"/>
    <x v="2"/>
  </r>
  <r>
    <x v="433"/>
    <d v="2015-02-26T00:00:00"/>
    <x v="4"/>
    <x v="2"/>
    <x v="288"/>
    <x v="0"/>
    <s v="Judi Dench"/>
    <s v="Bill Nighy"/>
    <s v="Maggie Smith"/>
    <s v="Richard Gere"/>
    <s v="Celia Imrie"/>
    <x v="35"/>
    <n v="86000000"/>
    <n v="76000000"/>
    <x v="420"/>
    <x v="0"/>
  </r>
  <r>
    <x v="434"/>
    <d v="2015-01-25T00:00:00"/>
    <x v="4"/>
    <x v="4"/>
    <x v="358"/>
    <x v="0"/>
    <s v="Regina Casé"/>
    <s v="Michel Joelsas"/>
    <s v="Camila Márdila"/>
    <s v=""/>
    <s v=""/>
    <x v="11"/>
    <n v="6200000"/>
    <n v="2200000"/>
    <x v="421"/>
    <x v="1"/>
  </r>
  <r>
    <x v="435"/>
    <d v="2016-07-08T00:00:00"/>
    <x v="0"/>
    <x v="6"/>
    <x v="78"/>
    <x v="32"/>
    <s v="Louis C.K."/>
    <s v="Eric Stonestreet"/>
    <s v="Kevin Hart"/>
    <s v="Albert Brooks"/>
    <s v="Hannibal Buress"/>
    <x v="76"/>
    <n v="724900000"/>
    <n v="649900000"/>
    <x v="422"/>
    <x v="0"/>
  </r>
  <r>
    <x v="436"/>
    <d v="2012-02-17T00:00:00"/>
    <x v="2"/>
    <x v="6"/>
    <x v="359"/>
    <x v="0"/>
    <s v="Will Arnett"/>
    <s v="Amy Poehler"/>
    <s v="Carol Burnett"/>
    <s v="Bridgit Mendler"/>
    <s v="David Henrie"/>
    <x v="39"/>
    <n v="145600000"/>
    <n v="122600000"/>
    <x v="423"/>
    <x v="0"/>
  </r>
  <r>
    <x v="437"/>
    <d v="2016-06-21T00:00:00"/>
    <x v="0"/>
    <x v="7"/>
    <x v="205"/>
    <x v="0"/>
    <s v="Blake Lively"/>
    <s v="Óscar Jaenada"/>
    <s v=""/>
    <s v=""/>
    <s v=""/>
    <x v="68"/>
    <n v="93200000"/>
    <n v="76200000"/>
    <x v="424"/>
    <x v="0"/>
  </r>
  <r>
    <x v="438"/>
    <d v="2014-01-20T00:00:00"/>
    <x v="3"/>
    <x v="8"/>
    <x v="360"/>
    <x v="0"/>
    <s v="Brenton Thwaites"/>
    <s v="Olivia Cooke"/>
    <s v="Sarah Clarke"/>
    <s v="Laurence Fishburne"/>
    <s v=""/>
    <x v="11"/>
    <n v="2420000"/>
    <n v="-1580000"/>
    <x v="363"/>
    <x v="3"/>
  </r>
  <r>
    <x v="439"/>
    <d v="2014-03-14T00:00:00"/>
    <x v="3"/>
    <x v="2"/>
    <x v="118"/>
    <x v="0"/>
    <s v="Tyler Perry"/>
    <s v="Nia Long"/>
    <s v="Wendi McLendon-Covey"/>
    <s v="Zulay Henao"/>
    <s v="Cocoa Brown"/>
    <x v="15"/>
    <n v="16300000"/>
    <n v="8300000"/>
    <x v="425"/>
    <x v="2"/>
  </r>
  <r>
    <x v="440"/>
    <d v="2013-07-31T00:00:00"/>
    <x v="1"/>
    <x v="6"/>
    <x v="361"/>
    <x v="0"/>
    <s v="Neil Patrick Harris"/>
    <s v="Jayma Mays"/>
    <s v="Hank Azaria"/>
    <s v="Tim Gunn"/>
    <s v="Brendan Gleeson"/>
    <x v="84"/>
    <n v="347500000"/>
    <n v="242500000"/>
    <x v="426"/>
    <x v="2"/>
  </r>
  <r>
    <x v="441"/>
    <d v="2013-08-02T00:00:00"/>
    <x v="1"/>
    <x v="4"/>
    <x v="362"/>
    <x v="0"/>
    <s v="Miles Teller"/>
    <s v="Shailene Woodley"/>
    <s v="Kaitlyn Dever"/>
    <s v="Brie Larson"/>
    <s v="Dayo Okeniyi"/>
    <x v="10"/>
    <n v="6900000"/>
    <n v="4400000"/>
    <x v="345"/>
    <x v="2"/>
  </r>
  <r>
    <x v="442"/>
    <d v="2015-02-06T00:00:00"/>
    <x v="4"/>
    <x v="6"/>
    <x v="363"/>
    <x v="33"/>
    <s v="Paul Tibbitt (director)"/>
    <s v="Jonathan Aibel"/>
    <s v="Glenn Berger(screenplay)"/>
    <s v="Antonio Banderas"/>
    <s v="Tom Kenny"/>
    <x v="140"/>
    <n v="323400000"/>
    <n v="249400000"/>
    <x v="427"/>
    <x v="0"/>
  </r>
  <r>
    <x v="443"/>
    <d v="2015-06-10T00:00:00"/>
    <x v="4"/>
    <x v="2"/>
    <x v="364"/>
    <x v="0"/>
    <s v="Bruno Podalydès"/>
    <s v="Sandrine Kiberlain"/>
    <s v="Agnès Jaoui"/>
    <s v="Vimala Pons"/>
    <s v=""/>
    <x v="141"/>
    <n v="3300000"/>
    <n v="-500000"/>
    <x v="428"/>
    <x v="3"/>
  </r>
  <r>
    <x v="444"/>
    <d v="2014-09-07T00:00:00"/>
    <x v="3"/>
    <x v="3"/>
    <x v="365"/>
    <x v="0"/>
    <s v="Eddie Redmayne"/>
    <s v="Felicity Jones"/>
    <s v=""/>
    <s v=""/>
    <s v=""/>
    <x v="0"/>
    <n v="123700000"/>
    <n v="108700000"/>
    <x v="429"/>
    <x v="0"/>
  </r>
  <r>
    <x v="445"/>
    <d v="2012-04-13T00:00:00"/>
    <x v="2"/>
    <x v="2"/>
    <x v="366"/>
    <x v="34"/>
    <s v="Chris Diamantopoulos"/>
    <s v="Sean Hayes"/>
    <s v="Will Sasso"/>
    <s v="Jane Lynch"/>
    <s v="Larry David"/>
    <x v="54"/>
    <n v="54800000"/>
    <n v="24800000"/>
    <x v="430"/>
    <x v="1"/>
  </r>
  <r>
    <x v="446"/>
    <d v="2015-09-04T00:00:00"/>
    <x v="4"/>
    <x v="1"/>
    <x v="47"/>
    <x v="0"/>
    <s v="Ed Skrein"/>
    <s v="Ray Stevenson"/>
    <s v="Loan Chabanol"/>
    <s v="Gabriella Wright"/>
    <s v=""/>
    <x v="61"/>
    <n v="72600000"/>
    <n v="47600000"/>
    <x v="431"/>
    <x v="2"/>
  </r>
  <r>
    <x v="447"/>
    <d v="2012-11-16T00:00:00"/>
    <x v="2"/>
    <x v="11"/>
    <x v="367"/>
    <x v="0"/>
    <s v="Kristen Stewart"/>
    <s v="Robert Pattinson"/>
    <s v="Michael Sheen"/>
    <s v="Mackenzie Foy"/>
    <s v="Billy Burke"/>
    <x v="69"/>
    <n v="829700000"/>
    <n v="709700000"/>
    <x v="432"/>
    <x v="0"/>
  </r>
  <r>
    <x v="448"/>
    <d v="2015-07-25T00:00:00"/>
    <x v="4"/>
    <x v="7"/>
    <x v="112"/>
    <x v="0"/>
    <s v="Kathleen Robertson"/>
    <s v="Michael Peña"/>
    <s v="Djimon Hounsou"/>
    <s v="Dougray Scott"/>
    <s v="John Patrick Amedori"/>
    <x v="62"/>
    <n v="13500000"/>
    <n v="500000"/>
    <x v="433"/>
    <x v="1"/>
  </r>
  <r>
    <x v="449"/>
    <d v="2015-09-08T00:00:00"/>
    <x v="4"/>
    <x v="7"/>
    <x v="17"/>
    <x v="0"/>
    <s v="Kathryn Hahn"/>
    <s v="Ed Oxenbould"/>
    <s v="Deanna Dunagan"/>
    <s v="Peter McRobbie"/>
    <s v="Olivia DeJonge"/>
    <x v="8"/>
    <n v="98500000"/>
    <n v="93500000"/>
    <x v="434"/>
    <x v="0"/>
  </r>
  <r>
    <x v="450"/>
    <d v="2015-09-30T00:00:00"/>
    <x v="4"/>
    <x v="3"/>
    <x v="101"/>
    <x v="0"/>
    <s v="Joseph Gordon-Levitt"/>
    <s v="Ben Kingsley"/>
    <s v="James Badge Dale"/>
    <s v="Charlotte Le Bon"/>
    <s v=""/>
    <x v="1"/>
    <n v="61200000"/>
    <n v="16200000"/>
    <x v="435"/>
    <x v="1"/>
  </r>
  <r>
    <x v="451"/>
    <d v="2012-07-27T00:00:00"/>
    <x v="2"/>
    <x v="2"/>
    <x v="368"/>
    <x v="0"/>
    <s v="Ben Stiller"/>
    <s v="Vince Vaughn"/>
    <s v="Rosemarie DeWitt"/>
    <s v="Jonah Hill"/>
    <s v="Richard Ayoade"/>
    <x v="75"/>
    <n v="68300000"/>
    <n v="300000"/>
    <x v="436"/>
    <x v="1"/>
  </r>
  <r>
    <x v="452"/>
    <d v="2014-12-26T00:00:00"/>
    <x v="3"/>
    <x v="4"/>
    <x v="369"/>
    <x v="0"/>
    <s v="Cem Yılmaz"/>
    <s v="Miyavi"/>
    <s v="Yılmaz Erdoğan"/>
    <s v=""/>
    <s v=""/>
    <x v="142"/>
    <n v="30800000"/>
    <n v="8300000"/>
    <x v="437"/>
    <x v="1"/>
  </r>
  <r>
    <x v="453"/>
    <d v="2013-07-05T00:00:00"/>
    <x v="1"/>
    <x v="2"/>
    <x v="370"/>
    <x v="35"/>
    <s v="Steve Carell"/>
    <s v="Toni Collette"/>
    <s v="Allison Janney"/>
    <s v="AnnaSophia Robb"/>
    <s v="Sam Rockwell"/>
    <x v="8"/>
    <n v="5000000"/>
    <n v="0"/>
    <x v="32"/>
    <x v="1"/>
  </r>
  <r>
    <x v="454"/>
    <d v="2015-01-16T00:00:00"/>
    <x v="4"/>
    <x v="9"/>
    <x v="371"/>
    <x v="0"/>
    <s v="Kevin Hart"/>
    <s v="Josh Gad"/>
    <s v="Kaley Cuoco"/>
    <s v="Olivia Thirlby"/>
    <s v="Alan Ritchson"/>
    <x v="39"/>
    <n v="79800000"/>
    <n v="56800000"/>
    <x v="438"/>
    <x v="2"/>
  </r>
  <r>
    <x v="455"/>
    <d v="2016-01-27T00:00:00"/>
    <x v="0"/>
    <x v="7"/>
    <x v="372"/>
    <x v="0"/>
    <s v="Anya Taylor-Joy"/>
    <s v="Ralph Ineson"/>
    <s v="Kate Dickie"/>
    <s v=""/>
    <s v=""/>
    <x v="73"/>
    <n v="40400000"/>
    <n v="37400000"/>
    <x v="439"/>
    <x v="0"/>
  </r>
  <r>
    <x v="456"/>
    <d v="2013-07-24T00:00:00"/>
    <x v="1"/>
    <x v="1"/>
    <x v="373"/>
    <x v="0"/>
    <s v="Hugh Jackman"/>
    <s v="Famke Janssen"/>
    <s v="Hiroyuki Sanada"/>
    <s v="Hal Yamanouchi"/>
    <s v="Tao Okamoto"/>
    <x v="69"/>
    <n v="414800000"/>
    <n v="294800000"/>
    <x v="440"/>
    <x v="2"/>
  </r>
  <r>
    <x v="457"/>
    <d v="2012-02-03T00:00:00"/>
    <x v="2"/>
    <x v="7"/>
    <x v="374"/>
    <x v="0"/>
    <s v="Daniel Radcliffe"/>
    <s v="Ciarán Hinds"/>
    <s v="Janet McTeer"/>
    <s v="Liz White"/>
    <s v="Alisa Khazanova"/>
    <x v="0"/>
    <n v="128500000"/>
    <n v="113500000"/>
    <x v="441"/>
    <x v="0"/>
  </r>
  <r>
    <x v="458"/>
    <d v="2014-12-30T00:00:00"/>
    <x v="3"/>
    <x v="7"/>
    <x v="375"/>
    <x v="0"/>
    <s v="Phoebe Fox"/>
    <s v="Jeremy Irvine"/>
    <s v="Helen McCrory"/>
    <s v="Adrian Rawlins"/>
    <s v="Oaklee Pendergast"/>
    <x v="0"/>
    <n v="48900000"/>
    <n v="33900000"/>
    <x v="205"/>
    <x v="2"/>
  </r>
  <r>
    <x v="459"/>
    <d v="2013-07-19T00:00:00"/>
    <x v="1"/>
    <x v="2"/>
    <x v="376"/>
    <x v="0"/>
    <s v="Simon Pegg"/>
    <s v="Nick Frost"/>
    <s v="Paddy Considine"/>
    <s v="Martin Freeman"/>
    <s v="Eddie Marsan"/>
    <x v="13"/>
    <n v="46100000"/>
    <n v="26100000"/>
    <x v="272"/>
    <x v="2"/>
  </r>
  <r>
    <x v="460"/>
    <d v="2016-03-11T00:00:00"/>
    <x v="0"/>
    <x v="4"/>
    <x v="377"/>
    <x v="0"/>
    <s v="Adam Greaves-Neal"/>
    <s v="Sean Bean"/>
    <s v=""/>
    <s v=""/>
    <s v=""/>
    <x v="143"/>
    <n v="7200000"/>
    <n v="-11300000"/>
    <x v="442"/>
    <x v="3"/>
  </r>
  <r>
    <x v="461"/>
    <d v="2012-04-20T00:00:00"/>
    <x v="2"/>
    <x v="2"/>
    <x v="246"/>
    <x v="0"/>
    <s v="Kevin Hart"/>
    <s v="Michael Ealy"/>
    <s v="Taraji P. Henson"/>
    <s v="Jerry Ferrara"/>
    <s v="Meagan Good"/>
    <x v="46"/>
    <n v="96100000"/>
    <n v="84100000"/>
    <x v="443"/>
    <x v="0"/>
  </r>
  <r>
    <x v="462"/>
    <d v="2013-06-12T00:00:00"/>
    <x v="1"/>
    <x v="2"/>
    <x v="378"/>
    <x v="36"/>
    <s v="Seth Rogen"/>
    <s v="Jay Baruchel"/>
    <s v="James Franco"/>
    <s v="Craig Robinson"/>
    <s v="Danny McBride"/>
    <x v="134"/>
    <n v="126000000"/>
    <n v="94000000"/>
    <x v="444"/>
    <x v="2"/>
  </r>
  <r>
    <x v="463"/>
    <d v="2014-09-19T00:00:00"/>
    <x v="3"/>
    <x v="2"/>
    <x v="200"/>
    <x v="0"/>
    <s v="Jason Bateman"/>
    <s v="Tina Fey"/>
    <s v="Jane Fonda"/>
    <s v="Timothy Olyphant"/>
    <s v="Corey Stoll"/>
    <x v="144"/>
    <n v="41300000"/>
    <n v="21500000"/>
    <x v="445"/>
    <x v="2"/>
  </r>
  <r>
    <x v="464"/>
    <d v="2012-02-17T00:00:00"/>
    <x v="2"/>
    <x v="1"/>
    <x v="379"/>
    <x v="0"/>
    <s v="Tom Hardy"/>
    <s v="Chris Pine"/>
    <s v="Reese Witherspoon"/>
    <s v="Chelsea Handler"/>
    <s v="Til Schweiger"/>
    <x v="25"/>
    <n v="156500000"/>
    <n v="91500000"/>
    <x v="446"/>
    <x v="2"/>
  </r>
  <r>
    <x v="465"/>
    <d v="2014-09-06T00:00:00"/>
    <x v="3"/>
    <x v="2"/>
    <x v="380"/>
    <x v="0"/>
    <s v="Chris Rock"/>
    <s v="Rosario Dawson"/>
    <s v="Genevieve Angelson"/>
    <s v="Rachel Feinstein"/>
    <s v="Dan Naturman"/>
    <x v="46"/>
    <n v="26100000"/>
    <n v="14100000"/>
    <x v="447"/>
    <x v="2"/>
  </r>
  <r>
    <x v="466"/>
    <d v="2013-02-08T00:00:00"/>
    <x v="1"/>
    <x v="1"/>
    <x v="381"/>
    <x v="0"/>
    <s v="Tom Cruise"/>
    <s v="Kelly McGillis"/>
    <s v="Val Kilmer"/>
    <s v="James Tolkan"/>
    <s v="Tom Skerritt"/>
    <x v="0"/>
    <n v="356800000"/>
    <n v="341800000"/>
    <x v="448"/>
    <x v="0"/>
  </r>
  <r>
    <x v="467"/>
    <d v="2012-08-03T00:00:00"/>
    <x v="2"/>
    <x v="1"/>
    <x v="382"/>
    <x v="0"/>
    <s v="Colin Farrell"/>
    <s v="Jessica Biel"/>
    <s v="Bryan Cranston"/>
    <s v="Kate Beckinsale"/>
    <s v="Bill Nighy"/>
    <x v="105"/>
    <n v="198500000"/>
    <n v="73500000"/>
    <x v="449"/>
    <x v="1"/>
  </r>
  <r>
    <x v="468"/>
    <d v="2013-03-27T00:00:00"/>
    <x v="1"/>
    <x v="5"/>
    <x v="274"/>
    <x v="0"/>
    <s v="James McAvoy"/>
    <s v="Vincent Cassel"/>
    <s v="Rosario Dawson"/>
    <s v="Tuppence Middleton"/>
    <s v="Lee Nicholas Harris"/>
    <x v="13"/>
    <n v="24300000"/>
    <n v="4300000"/>
    <x v="450"/>
    <x v="1"/>
  </r>
  <r>
    <x v="469"/>
    <d v="2014-04-10T00:00:00"/>
    <x v="3"/>
    <x v="8"/>
    <x v="383"/>
    <x v="0"/>
    <s v="Johnny Depp"/>
    <s v="Paul Bettany"/>
    <s v="Rebecca Hall"/>
    <s v="Kate Mara"/>
    <s v="Morgan Freeman"/>
    <x v="33"/>
    <n v="103000000"/>
    <n v="3000000"/>
    <x v="451"/>
    <x v="1"/>
  </r>
  <r>
    <x v="470"/>
    <d v="2016-02-16T00:00:00"/>
    <x v="0"/>
    <x v="5"/>
    <x v="384"/>
    <x v="0"/>
    <s v="Kate Winslet"/>
    <s v="Woody Harrelson"/>
    <s v="Gal Gadot"/>
    <s v="Anthony Mackie"/>
    <s v="Teresa Palmer"/>
    <x v="13"/>
    <n v="23400000"/>
    <n v="3400000"/>
    <x v="452"/>
    <x v="1"/>
  </r>
  <r>
    <x v="471"/>
    <d v="2012-09-21T00:00:00"/>
    <x v="2"/>
    <x v="4"/>
    <x v="385"/>
    <x v="0"/>
    <s v="Clint Eastwood"/>
    <s v="Amy Adams"/>
    <s v="Matthew Lillard"/>
    <s v="Justin Timberlake"/>
    <s v="John Goodman"/>
    <x v="31"/>
    <n v="49000000"/>
    <n v="-11000000"/>
    <x v="453"/>
    <x v="3"/>
  </r>
  <r>
    <x v="472"/>
    <d v="2015-09-12T00:00:00"/>
    <x v="4"/>
    <x v="4"/>
    <x v="298"/>
    <x v="0"/>
    <s v="Bryan Cranston"/>
    <s v="Diane Lane"/>
    <s v="Helen Mirren"/>
    <s v="John Goodman"/>
    <s v="Elle Fanning"/>
    <x v="0"/>
    <n v="8200000"/>
    <n v="-6800000"/>
    <x v="454"/>
    <x v="3"/>
  </r>
  <r>
    <x v="473"/>
    <d v="2015-09-12T00:00:00"/>
    <x v="4"/>
    <x v="4"/>
    <x v="386"/>
    <x v="0"/>
    <s v="Robert Redford"/>
    <s v="Cate Blanchett"/>
    <s v="Dennis Quaid"/>
    <s v="Topher Grace"/>
    <s v="Elisabeth Moss"/>
    <x v="145"/>
    <n v="5400000"/>
    <n v="-4200000"/>
    <x v="455"/>
    <x v="3"/>
  </r>
  <r>
    <x v="474"/>
    <d v="2013-07-17T00:00:00"/>
    <x v="1"/>
    <x v="2"/>
    <x v="387"/>
    <x v="0"/>
    <s v="Ryan Reynolds"/>
    <s v="Paul Giamatti"/>
    <s v="Michael Peña"/>
    <s v="Luis Guzmán"/>
    <s v="Bill Hader"/>
    <x v="101"/>
    <n v="282600000"/>
    <n v="155600000"/>
    <x v="456"/>
    <x v="2"/>
  </r>
  <r>
    <x v="475"/>
    <d v="2014-09-06T00:00:00"/>
    <x v="3"/>
    <x v="7"/>
    <x v="388"/>
    <x v="0"/>
    <s v="Michael Parks"/>
    <s v="Justin Long"/>
    <s v="Haley Joel Osment"/>
    <s v="Génesis Rodríguez"/>
    <s v="Johnny Depp"/>
    <x v="73"/>
    <n v="1900000"/>
    <n v="-1100000"/>
    <x v="457"/>
    <x v="3"/>
  </r>
  <r>
    <x v="476"/>
    <d v="2014-11-17T00:00:00"/>
    <x v="3"/>
    <x v="4"/>
    <x v="52"/>
    <x v="0"/>
    <s v="Jack O'Connell"/>
    <s v="Miyavi"/>
    <s v="Domhnall Gleeson"/>
    <s v="Garrett Hedlund"/>
    <s v="Jai Courtney"/>
    <x v="25"/>
    <n v="163400000"/>
    <n v="98400000"/>
    <x v="458"/>
    <x v="2"/>
  </r>
  <r>
    <x v="477"/>
    <d v="2015-03-06T00:00:00"/>
    <x v="4"/>
    <x v="2"/>
    <x v="389"/>
    <x v="0"/>
    <s v="Vince Vaughn"/>
    <s v="Tom Wilkinson"/>
    <s v="Dave Franco"/>
    <s v="Sienna Miller"/>
    <s v="Nick Frost"/>
    <x v="18"/>
    <n v="14400000"/>
    <n v="-20600000"/>
    <x v="459"/>
    <x v="3"/>
  </r>
  <r>
    <x v="478"/>
    <d v="2014-07-20T00:00:00"/>
    <x v="3"/>
    <x v="7"/>
    <x v="390"/>
    <x v="0"/>
    <s v="Shelley Hennig"/>
    <s v="Renee Olstead"/>
    <s v="Jacob Wysocki"/>
    <s v="Will Peltz"/>
    <s v=""/>
    <x v="45"/>
    <n v="64100000"/>
    <n v="63100000"/>
    <x v="460"/>
    <x v="0"/>
  </r>
  <r>
    <x v="479"/>
    <d v="2015-07-29T00:00:00"/>
    <x v="4"/>
    <x v="6"/>
    <x v="391"/>
    <x v="37"/>
    <s v="Ed Helms"/>
    <s v="Christina Applegate"/>
    <s v="Leslie Mann"/>
    <s v="Chris Hemsworth"/>
    <s v="Charlie Day"/>
    <x v="71"/>
    <n v="104900000"/>
    <n v="73900000"/>
    <x v="461"/>
    <x v="2"/>
  </r>
  <r>
    <x v="480"/>
    <d v="2014-02-07T00:00:00"/>
    <x v="3"/>
    <x v="1"/>
    <x v="392"/>
    <x v="0"/>
    <s v="Zoey Deutch"/>
    <s v="Lucy Fry"/>
    <s v="Danila Kozlovsky"/>
    <s v=""/>
    <s v=""/>
    <x v="54"/>
    <n v="15400000"/>
    <n v="-14600000"/>
    <x v="462"/>
    <x v="3"/>
  </r>
  <r>
    <x v="481"/>
    <d v="2014-03-14T00:00:00"/>
    <x v="3"/>
    <x v="12"/>
    <x v="393"/>
    <x v="0"/>
    <s v="Kristen Bell"/>
    <s v="Jason Dohring"/>
    <s v="Krysten Ritter"/>
    <s v="Ryan Hansen"/>
    <s v="Francis Capra"/>
    <x v="130"/>
    <n v="3500000"/>
    <n v="-2500000"/>
    <x v="463"/>
    <x v="3"/>
  </r>
  <r>
    <x v="482"/>
    <d v="2015-11-25T00:00:00"/>
    <x v="4"/>
    <x v="7"/>
    <x v="394"/>
    <x v="0"/>
    <s v="Daniel Radcliffe"/>
    <s v="James McAvoy"/>
    <s v="Jessica Brown Findlay"/>
    <s v="Andrew Scott"/>
    <s v=""/>
    <x v="6"/>
    <n v="34200000"/>
    <n v="-5800000"/>
    <x v="464"/>
    <x v="3"/>
  </r>
  <r>
    <x v="483"/>
    <d v="2012-02-24T00:00:00"/>
    <x v="2"/>
    <x v="2"/>
    <x v="395"/>
    <x v="0"/>
    <s v="Paul Rudd"/>
    <s v="Jennifer Aniston"/>
    <s v="Malin Akerman"/>
    <s v="Justin Theroux"/>
    <s v="Ken Marino"/>
    <x v="18"/>
    <n v="24200000"/>
    <n v="-10800000"/>
    <x v="465"/>
    <x v="3"/>
  </r>
  <r>
    <x v="484"/>
    <d v="2016-08-19T00:00:00"/>
    <x v="0"/>
    <x v="5"/>
    <x v="316"/>
    <x v="0"/>
    <s v="Jonah Hill"/>
    <s v="Miles Teller"/>
    <s v="Ana de Armas"/>
    <s v="J. B. Blanc"/>
    <s v=""/>
    <x v="6"/>
    <n v="42700000"/>
    <n v="2700000"/>
    <x v="466"/>
    <x v="1"/>
  </r>
  <r>
    <x v="485"/>
    <d v="2015-08-28T00:00:00"/>
    <x v="4"/>
    <x v="4"/>
    <x v="396"/>
    <x v="0"/>
    <s v="Alex Kendrick"/>
    <s v="Priscilla Shirer"/>
    <s v="T.C. Stallings"/>
    <s v="Beth Moore"/>
    <s v="Karen Abercrombie"/>
    <x v="73"/>
    <n v="73700000"/>
    <n v="70700000"/>
    <x v="467"/>
    <x v="0"/>
  </r>
  <r>
    <x v="486"/>
    <d v="2016-06-10T00:00:00"/>
    <x v="0"/>
    <x v="1"/>
    <x v="397"/>
    <x v="0"/>
    <s v="Ben Foster"/>
    <s v="Travis Fimmel"/>
    <s v="Paula Patton"/>
    <s v="Toby Kebbell"/>
    <s v="Dominic Cooper"/>
    <x v="70"/>
    <n v="433500000"/>
    <n v="273500000"/>
    <x v="468"/>
    <x v="2"/>
  </r>
  <r>
    <x v="487"/>
    <d v="2013-02-01T00:00:00"/>
    <x v="1"/>
    <x v="2"/>
    <x v="343"/>
    <x v="0"/>
    <s v="Nicholas Hoult"/>
    <s v="Teresa Palmer"/>
    <s v="Rob Corddry"/>
    <s v="John Malkovich"/>
    <s v="Analeigh Tipton"/>
    <x v="18"/>
    <n v="117000000"/>
    <n v="82000000"/>
    <x v="361"/>
    <x v="2"/>
  </r>
  <r>
    <x v="488"/>
    <d v="2013-05-03T00:00:00"/>
    <x v="1"/>
    <x v="4"/>
    <x v="398"/>
    <x v="38"/>
    <s v="Julianne Moore"/>
    <s v="Steve Coogan"/>
    <s v="Alexander Skarsgård"/>
    <s v="Joanna Vanderham"/>
    <s v="Onata Aprile"/>
    <x v="8"/>
    <n v="2700000"/>
    <n v="-2300000"/>
    <x v="257"/>
    <x v="3"/>
  </r>
  <r>
    <x v="489"/>
    <d v="2012-05-18T00:00:00"/>
    <x v="2"/>
    <x v="2"/>
    <x v="196"/>
    <x v="0"/>
    <s v="Cameron Diaz"/>
    <s v="Jennifer Lopez"/>
    <s v="Brooklyn Decker"/>
    <s v="Elizabeth Banks"/>
    <s v="Anna Kendrick"/>
    <x v="6"/>
    <n v="84400000"/>
    <n v="44400000"/>
    <x v="469"/>
    <x v="2"/>
  </r>
  <r>
    <x v="490"/>
    <d v="2014-08-04T00:00:00"/>
    <x v="3"/>
    <x v="14"/>
    <x v="399"/>
    <x v="0"/>
    <s v="Jim Caviezel"/>
    <s v="Laura Dern"/>
    <s v="Michael Chiklis"/>
    <s v="Alexander Ludwig"/>
    <s v=""/>
    <x v="0"/>
    <n v="30100000"/>
    <n v="15100000"/>
    <x v="470"/>
    <x v="2"/>
  </r>
  <r>
    <x v="491"/>
    <d v="2014-01-16T00:00:00"/>
    <x v="3"/>
    <x v="4"/>
    <x v="400"/>
    <x v="0"/>
    <s v="J. K. Simmons"/>
    <s v="Miles Teller"/>
    <s v="Paul Reiser"/>
    <s v="Melissa Benoist"/>
    <s v=""/>
    <x v="131"/>
    <n v="49000000"/>
    <n v="45700000"/>
    <x v="471"/>
    <x v="0"/>
  </r>
  <r>
    <x v="492"/>
    <d v="2016-03-04T00:00:00"/>
    <x v="0"/>
    <x v="4"/>
    <x v="401"/>
    <x v="39"/>
    <s v="Tina Fey"/>
    <s v="Margot Robbie"/>
    <s v="Martin Freeman"/>
    <s v="Billy Bob Thornton"/>
    <s v="Alfred Molina"/>
    <x v="18"/>
    <n v="24900000"/>
    <n v="-10100000"/>
    <x v="472"/>
    <x v="3"/>
  </r>
  <r>
    <x v="493"/>
    <d v="2013-06-28T00:00:00"/>
    <x v="1"/>
    <x v="1"/>
    <x v="139"/>
    <x v="0"/>
    <s v="Channing Tatum"/>
    <s v="Jamie Foxx"/>
    <s v="Maggie Gyllenhaal"/>
    <s v="James Woods"/>
    <s v="Richard Jenkins"/>
    <x v="52"/>
    <n v="205000000"/>
    <n v="55000000"/>
    <x v="473"/>
    <x v="1"/>
  </r>
  <r>
    <x v="494"/>
    <d v="2014-08-29T00:00:00"/>
    <x v="3"/>
    <x v="4"/>
    <x v="402"/>
    <x v="0"/>
    <s v="Reese Witherspoon"/>
    <s v="Gaby Hoffmann"/>
    <s v="Michiel Huisman"/>
    <s v="Charles Baker"/>
    <s v=""/>
    <x v="0"/>
    <n v="52500000"/>
    <n v="37500000"/>
    <x v="296"/>
    <x v="2"/>
  </r>
  <r>
    <x v="495"/>
    <d v="2014-02-13T00:00:00"/>
    <x v="3"/>
    <x v="4"/>
    <x v="403"/>
    <x v="0"/>
    <s v="Colin Farrell"/>
    <s v="Russell Crowe"/>
    <s v="Jessica Brown Findlay"/>
    <s v="Jennifer Connelly"/>
    <s v="Will Smith"/>
    <x v="31"/>
    <n v="31100000"/>
    <n v="-28900000"/>
    <x v="474"/>
    <x v="3"/>
  </r>
  <r>
    <x v="496"/>
    <d v="2014-01-18T00:00:00"/>
    <x v="3"/>
    <x v="4"/>
    <x v="404"/>
    <x v="0"/>
    <s v="Zach Braff"/>
    <s v="Kate Hudson"/>
    <s v="Jim Parsons"/>
    <s v="Mandy Patinkin"/>
    <s v="Ashley Greene"/>
    <x v="130"/>
    <n v="5500000"/>
    <n v="-500000"/>
    <x v="475"/>
    <x v="3"/>
  </r>
  <r>
    <x v="497"/>
    <d v="2015-04-01T00:00:00"/>
    <x v="4"/>
    <x v="4"/>
    <x v="405"/>
    <x v="0"/>
    <s v="Helen Mirren"/>
    <s v="Ryan Reynolds"/>
    <s v="Daniel Brühl"/>
    <s v="Katie Holmes"/>
    <s v="Tatiana Maslany"/>
    <x v="40"/>
    <n v="61600000"/>
    <n v="50600000"/>
    <x v="476"/>
    <x v="0"/>
  </r>
  <r>
    <x v="498"/>
    <d v="2012-09-28T00:00:00"/>
    <x v="2"/>
    <x v="4"/>
    <x v="406"/>
    <x v="0"/>
    <s v="Viola Davis"/>
    <s v="Maggie Gyllenhaal"/>
    <s v="Holly Hunter"/>
    <s v="Ving Rhames"/>
    <s v="Rosie Perez"/>
    <x v="72"/>
    <n v="5400000"/>
    <n v="-13600000"/>
    <x v="239"/>
    <x v="3"/>
  </r>
  <r>
    <x v="499"/>
    <d v="2015-10-16T00:00:00"/>
    <x v="4"/>
    <x v="4"/>
    <x v="407"/>
    <x v="0"/>
    <s v="Sean Astin"/>
    <s v="Nic Bishop"/>
    <s v="Caleb Castille"/>
    <s v="Sherri Shepherd"/>
    <s v="Jon Voight"/>
    <x v="62"/>
    <n v="14400000"/>
    <n v="1400000"/>
    <x v="477"/>
    <x v="1"/>
  </r>
  <r>
    <x v="500"/>
    <d v="2013-06-21T00:00:00"/>
    <x v="1"/>
    <x v="1"/>
    <x v="408"/>
    <x v="0"/>
    <s v="Brad Pitt"/>
    <s v="Mireille Enos"/>
    <s v="James Badge Dale"/>
    <s v="Daniella Kertesz"/>
    <s v="Matthew Fox"/>
    <x v="106"/>
    <n v="540000000"/>
    <n v="350000000"/>
    <x v="478"/>
    <x v="2"/>
  </r>
  <r>
    <x v="501"/>
    <d v="2012-03-30T00:00:00"/>
    <x v="2"/>
    <x v="1"/>
    <x v="280"/>
    <x v="0"/>
    <s v="Sam Worthington"/>
    <s v="Liam Neeson"/>
    <s v="Ralph Fiennes"/>
    <s v="Edgar Ramirez"/>
    <s v="Rosamund Pike"/>
    <x v="52"/>
    <n v="305300000"/>
    <n v="155300000"/>
    <x v="479"/>
    <x v="2"/>
  </r>
  <r>
    <x v="502"/>
    <d v="2016-05-09T00:00:00"/>
    <x v="0"/>
    <x v="1"/>
    <x v="409"/>
    <x v="0"/>
    <s v="James McAvoy"/>
    <s v="Michael Fassbender"/>
    <s v="Jennifer Lawrence"/>
    <s v="Oscar Isaac"/>
    <s v="Nicholas Hoult"/>
    <x v="63"/>
    <n v="544600000"/>
    <n v="366600000"/>
    <x v="480"/>
    <x v="2"/>
  </r>
  <r>
    <x v="503"/>
    <d v="2014-05-10T00:00:00"/>
    <x v="3"/>
    <x v="1"/>
    <x v="409"/>
    <x v="0"/>
    <s v="Hugh Jackman"/>
    <s v="James McAvoy"/>
    <s v="Michael Fassbender"/>
    <s v="Halle Berry"/>
    <s v="Jennifer Lawrence"/>
    <x v="146"/>
    <n v="747900000"/>
    <n v="547900000"/>
    <x v="481"/>
    <x v="2"/>
  </r>
  <r>
    <x v="504"/>
    <d v="2013-08-23T00:00:00"/>
    <x v="1"/>
    <x v="7"/>
    <x v="410"/>
    <x v="0"/>
    <s v="Sharni Vinson"/>
    <s v="Joe Swanberg"/>
    <s v="AJ Bowen"/>
    <s v="Nicholas Tucci"/>
    <s v="Barbara Crampton"/>
    <x v="45"/>
    <n v="26800000"/>
    <n v="25800000"/>
    <x v="482"/>
    <x v="0"/>
  </r>
  <r>
    <x v="505"/>
    <d v="2012-12-19T00:00:00"/>
    <x v="2"/>
    <x v="4"/>
    <x v="411"/>
    <x v="0"/>
    <s v="Jessica Chastain"/>
    <s v="Chris Pratt"/>
    <s v="Joel Edgerton"/>
    <s v="Kyle Chandler"/>
    <s v="Jason Clarke"/>
    <x v="6"/>
    <n v="132800000"/>
    <n v="92800000"/>
    <x v="483"/>
    <x v="2"/>
  </r>
  <r>
    <x v="506"/>
    <d v="2015-02-19T00:00:00"/>
    <x v="4"/>
    <x v="9"/>
    <x v="412"/>
    <x v="0"/>
    <s v="Li Bingbing"/>
    <s v="Chen Kun"/>
    <s v="Yang Zishan"/>
    <s v="Winston Chao"/>
    <s v="Bao Bei'er"/>
    <x v="54"/>
    <n v="64470000"/>
    <n v="34470000"/>
    <x v="484"/>
    <x v="2"/>
  </r>
  <r>
    <x v="507"/>
    <d v="2016-02-12T00:00:00"/>
    <x v="0"/>
    <x v="2"/>
    <x v="413"/>
    <x v="0"/>
    <s v="Ben Stiller"/>
    <s v="Owen Wilson"/>
    <s v="Christine Taylor"/>
    <s v="Will Ferrell"/>
    <s v="Penélope Cruz"/>
    <x v="21"/>
    <n v="56000000"/>
    <n v="6000000"/>
    <x v="485"/>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2CA1736-00B5-4B3F-B41D-8C818485AF74}"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A28:B45" firstHeaderRow="1" firstDataRow="1" firstDataCol="1"/>
  <pivotFields count="16">
    <pivotField showAll="0" measureFilter="1">
      <items count="50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t="default"/>
      </items>
    </pivotField>
    <pivotField numFmtId="14" showAll="0"/>
    <pivotField showAll="0"/>
    <pivotField axis="axisRow" showAll="0" sortType="descending">
      <items count="18">
        <item x="1"/>
        <item x="6"/>
        <item x="15"/>
        <item x="3"/>
        <item x="2"/>
        <item x="5"/>
        <item x="16"/>
        <item x="4"/>
        <item x="13"/>
        <item x="11"/>
        <item x="7"/>
        <item x="10"/>
        <item x="12"/>
        <item x="14"/>
        <item x="9"/>
        <item x="8"/>
        <item x="0"/>
        <item t="default"/>
      </items>
      <autoSortScope>
        <pivotArea dataOnly="0" outline="0" fieldPosition="0">
          <references count="1">
            <reference field="4294967294" count="1" selected="0">
              <x v="0"/>
            </reference>
          </references>
        </pivotArea>
      </autoSortScope>
    </pivotField>
    <pivotField showAll="0">
      <items count="415">
        <item x="289"/>
        <item h="1" x="251"/>
        <item h="1" x="410"/>
        <item h="1" x="403"/>
        <item h="1" x="368"/>
        <item h="1" x="281"/>
        <item h="1" x="357"/>
        <item h="1" x="168"/>
        <item h="1" x="126"/>
        <item h="1" x="98"/>
        <item h="1" x="396"/>
        <item h="1" x="222"/>
        <item h="1" x="115"/>
        <item h="1" x="180"/>
        <item h="1" x="176"/>
        <item h="1" x="157"/>
        <item h="1" x="187"/>
        <item h="1" x="318"/>
        <item h="1" x="218"/>
        <item h="1" x="166"/>
        <item h="1" x="52"/>
        <item h="1" x="195"/>
        <item h="1" x="358"/>
        <item h="1" x="129"/>
        <item h="1" x="243"/>
        <item h="1" x="53"/>
        <item h="1" x="293"/>
        <item h="1" x="208"/>
        <item h="1" x="12"/>
        <item h="1" x="305"/>
        <item h="1" x="215"/>
        <item h="1" x="68"/>
        <item h="1" x="177"/>
        <item h="1" x="25"/>
        <item h="1" x="259"/>
        <item h="1" x="170"/>
        <item h="1" x="2"/>
        <item h="1" x="252"/>
        <item h="1" x="183"/>
        <item h="1" x="313"/>
        <item h="1" x="29"/>
        <item h="1" x="278"/>
        <item h="1" x="413"/>
        <item h="1" x="37"/>
        <item h="1" x="35"/>
        <item h="1" x="367"/>
        <item h="1" x="349"/>
        <item h="1" x="258"/>
        <item h="1" x="178"/>
        <item h="1" x="366"/>
        <item h="1" x="297"/>
        <item h="1" x="255"/>
        <item h="1" x="153"/>
        <item h="1" x="61"/>
        <item h="1" x="331"/>
        <item h="1" x="5"/>
        <item h="1" x="13"/>
        <item h="1" x="364"/>
        <item h="1" x="409"/>
        <item h="1" x="232"/>
        <item h="1" x="97"/>
        <item h="1" x="20"/>
        <item h="1" x="47"/>
        <item h="1" x="253"/>
        <item h="1" x="247"/>
        <item h="1" x="320"/>
        <item h="1" x="152"/>
        <item h="1" x="83"/>
        <item h="1" x="217"/>
        <item h="1" x="226"/>
        <item h="1" x="78"/>
        <item h="1" x="380"/>
        <item h="1" x="301"/>
        <item h="1" x="96"/>
        <item h="1" x="145"/>
        <item h="1" x="142"/>
        <item h="1" x="268"/>
        <item h="1" x="265"/>
        <item h="1" x="92"/>
        <item h="1" x="287"/>
        <item h="1" x="23"/>
        <item h="1" x="65"/>
        <item h="1" x="111"/>
        <item h="1" x="59"/>
        <item h="1" x="377"/>
        <item h="1" x="400"/>
        <item h="1" x="242"/>
        <item h="1" x="71"/>
        <item h="1" x="201"/>
        <item h="1" x="0"/>
        <item h="1" x="406"/>
        <item h="1" x="62"/>
        <item h="1" x="87"/>
        <item h="1" x="274"/>
        <item h="1" x="204"/>
        <item h="1" x="89"/>
        <item h="1" x="93"/>
        <item h="1" x="80"/>
        <item h="1" x="327"/>
        <item h="1" x="167"/>
        <item h="1" x="117"/>
        <item h="1" x="128"/>
        <item h="1" x="332"/>
        <item h="1" x="212"/>
        <item h="1" x="191"/>
        <item h="1" x="18"/>
        <item h="1" x="348"/>
        <item h="1" x="154"/>
        <item h="1" x="387"/>
        <item h="1" x="245"/>
        <item h="1" x="395"/>
        <item h="1" x="334"/>
        <item h="1" x="125"/>
        <item h="1" x="131"/>
        <item h="1" x="234"/>
        <item h="1" x="241"/>
        <item h="1" x="233"/>
        <item h="1" x="194"/>
        <item h="1" x="120"/>
        <item h="1" x="182"/>
        <item h="1" x="352"/>
        <item h="1" x="90"/>
        <item h="1" x="57"/>
        <item h="1" x="324"/>
        <item h="1" x="95"/>
        <item h="1" x="91"/>
        <item h="1" x="296"/>
        <item h="1" x="397"/>
        <item h="1" x="321"/>
        <item h="1" x="329"/>
        <item h="1" x="220"/>
        <item h="1" x="376"/>
        <item h="1" x="225"/>
        <item h="1" x="175"/>
        <item h="1" x="227"/>
        <item h="1" x="109"/>
        <item h="1" x="378"/>
        <item h="1" x="275"/>
        <item h="1" x="84"/>
        <item h="1" x="319"/>
        <item h="1" x="44"/>
        <item h="1" x="264"/>
        <item h="1" x="116"/>
        <item h="1" x="355"/>
        <item h="1" x="192"/>
        <item h="1" x="104"/>
        <item h="1" x="359"/>
        <item h="1" x="85"/>
        <item h="1" x="99"/>
        <item h="1" x="147"/>
        <item h="1" x="130"/>
        <item h="1" x="341"/>
        <item h="1" x="174"/>
        <item h="1" x="228"/>
        <item h="1" x="229"/>
        <item h="1" x="40"/>
        <item h="1" x="401"/>
        <item h="1" x="302"/>
        <item h="1" x="216"/>
        <item h="1" x="239"/>
        <item h="1" x="69"/>
        <item h="1" x="236"/>
        <item h="1" x="337"/>
        <item h="1" x="342"/>
        <item h="1" x="114"/>
        <item h="1" x="199"/>
        <item h="1" x="86"/>
        <item h="1" x="284"/>
        <item h="1" x="11"/>
        <item h="1" x="214"/>
        <item h="1" x="354"/>
        <item h="1" x="373"/>
        <item h="1" x="365"/>
        <item h="1" x="169"/>
        <item h="1" x="356"/>
        <item h="1" x="362"/>
        <item h="1" x="386"/>
        <item h="1" x="140"/>
        <item h="1" x="374"/>
        <item h="1" x="224"/>
        <item h="1" x="310"/>
        <item h="1" x="205"/>
        <item h="1" x="149"/>
        <item h="1" x="298"/>
        <item h="1" x="402"/>
        <item h="1" x="184"/>
        <item h="1" x="105"/>
        <item h="1" x="161"/>
        <item h="1" x="371"/>
        <item h="1" x="240"/>
        <item h="1" x="54"/>
        <item h="1" x="172"/>
        <item h="1" x="188"/>
        <item h="1" x="314"/>
        <item h="1" x="213"/>
        <item h="1" x="121"/>
        <item h="1" x="311"/>
        <item h="1" x="49"/>
        <item h="1" x="30"/>
        <item h="1" x="391"/>
        <item h="1" x="384"/>
        <item h="1" x="282"/>
        <item h="1" x="288"/>
        <item h="1" x="8"/>
        <item h="1" x="26"/>
        <item h="1" x="51"/>
        <item h="1" x="107"/>
        <item h="1" x="60"/>
        <item h="1" x="22"/>
        <item h="1" x="31"/>
        <item h="1" x="150"/>
        <item h="1" x="244"/>
        <item h="1" x="122"/>
        <item h="1" x="343"/>
        <item h="1" x="280"/>
        <item h="1" x="291"/>
        <item h="1" x="231"/>
        <item h="1" x="250"/>
        <item h="1" x="207"/>
        <item h="1" x="309"/>
        <item h="1" x="106"/>
        <item h="1" x="63"/>
        <item h="1" x="151"/>
        <item h="1" x="323"/>
        <item h="1" x="210"/>
        <item h="1" x="100"/>
        <item h="1" x="411"/>
        <item h="1" x="15"/>
        <item h="1" x="389"/>
        <item h="1" x="146"/>
        <item h="1" x="249"/>
        <item h="1" x="388"/>
        <item h="1" x="330"/>
        <item h="1" x="196"/>
        <item h="1" x="303"/>
        <item h="1" x="256"/>
        <item h="1" x="269"/>
        <item h="1" x="295"/>
        <item h="1" x="285"/>
        <item h="1" x="141"/>
        <item h="1" x="382"/>
        <item h="1" x="254"/>
        <item h="1" x="390"/>
        <item h="1" x="206"/>
        <item h="1" x="173"/>
        <item h="1" x="165"/>
        <item h="1" x="17"/>
        <item h="1" x="299"/>
        <item h="1" x="32"/>
        <item h="1" x="133"/>
        <item h="1" x="408"/>
        <item h="1" x="286"/>
        <item h="1" x="300"/>
        <item h="1" x="261"/>
        <item h="1" x="112"/>
        <item h="1" x="392"/>
        <item h="1" x="79"/>
        <item h="1" x="162"/>
        <item h="1" x="73"/>
        <item h="1" x="346"/>
        <item h="1" x="158"/>
        <item h="1" x="379"/>
        <item h="1" x="1"/>
        <item h="1" x="156"/>
        <item h="1" x="159"/>
        <item h="1" x="263"/>
        <item h="1" x="43"/>
        <item h="1" x="7"/>
        <item h="1" x="304"/>
        <item h="1" x="9"/>
        <item h="1" x="134"/>
        <item h="1" x="209"/>
        <item h="1" x="322"/>
        <item h="1" x="325"/>
        <item h="1" x="370"/>
        <item h="1" x="81"/>
        <item h="1" x="58"/>
        <item h="1" x="328"/>
        <item h="1" x="198"/>
        <item h="1" x="347"/>
        <item h="1" x="94"/>
        <item h="1" x="74"/>
        <item h="1" x="24"/>
        <item h="1" x="103"/>
        <item h="1" x="4"/>
        <item h="1" x="353"/>
        <item h="1" x="257"/>
        <item h="1" x="277"/>
        <item h="1" x="10"/>
        <item h="1" x="185"/>
        <item h="1" x="308"/>
        <item h="1" x="113"/>
        <item h="1" x="148"/>
        <item h="1" x="394"/>
        <item h="1" x="339"/>
        <item h="1" x="363"/>
        <item h="1" x="230"/>
        <item h="1" x="155"/>
        <item h="1" x="36"/>
        <item h="1" x="88"/>
        <item h="1" x="317"/>
        <item h="1" x="66"/>
        <item h="1" x="345"/>
        <item h="1" x="351"/>
        <item h="1" x="412"/>
        <item h="1" x="248"/>
        <item h="1" x="28"/>
        <item h="1" x="3"/>
        <item h="1" x="312"/>
        <item h="1" x="315"/>
        <item h="1" x="82"/>
        <item h="1" x="137"/>
        <item h="1" x="361"/>
        <item h="1" x="189"/>
        <item h="1" x="124"/>
        <item h="1" x="56"/>
        <item h="1" x="333"/>
        <item h="1" x="171"/>
        <item h="1" x="266"/>
        <item h="1" x="38"/>
        <item h="1" x="46"/>
        <item h="1" x="235"/>
        <item h="1" x="19"/>
        <item h="1" x="119"/>
        <item h="1" x="193"/>
        <item h="1" x="393"/>
        <item h="1" x="372"/>
        <item h="1" x="385"/>
        <item h="1" x="237"/>
        <item h="1" x="101"/>
        <item h="1" x="344"/>
        <item h="1" x="139"/>
        <item h="1" x="138"/>
        <item h="1" x="39"/>
        <item h="1" x="108"/>
        <item h="1" x="267"/>
        <item h="1" x="369"/>
        <item h="1" x="67"/>
        <item h="1" x="203"/>
        <item h="1" x="338"/>
        <item h="1" x="132"/>
        <item h="1" x="34"/>
        <item h="1" x="202"/>
        <item h="1" x="276"/>
        <item h="1" x="72"/>
        <item h="1" x="42"/>
        <item h="1" x="77"/>
        <item h="1" x="14"/>
        <item h="1" x="336"/>
        <item h="1" x="398"/>
        <item h="1" x="197"/>
        <item h="1" x="70"/>
        <item h="1" x="260"/>
        <item h="1" x="136"/>
        <item h="1" x="279"/>
        <item h="1" x="326"/>
        <item h="1" x="200"/>
        <item h="1" x="405"/>
        <item h="1" x="221"/>
        <item h="1" x="307"/>
        <item h="1" x="290"/>
        <item h="1" x="350"/>
        <item h="1" x="340"/>
        <item h="1" x="102"/>
        <item h="1" x="238"/>
        <item h="1" x="135"/>
        <item h="1" x="143"/>
        <item h="1" x="262"/>
        <item h="1" x="48"/>
        <item h="1" x="211"/>
        <item h="1" x="272"/>
        <item h="1" x="186"/>
        <item h="1" x="110"/>
        <item h="1" x="219"/>
        <item h="1" x="407"/>
        <item h="1" x="181"/>
        <item h="1" x="271"/>
        <item h="1" x="399"/>
        <item h="1" x="223"/>
        <item h="1" x="41"/>
        <item h="1" x="127"/>
        <item h="1" x="75"/>
        <item h="1" x="246"/>
        <item h="1" x="144"/>
        <item h="1" x="16"/>
        <item h="1" x="55"/>
        <item h="1" x="316"/>
        <item h="1" x="283"/>
        <item h="1" x="375"/>
        <item h="1" x="164"/>
        <item h="1" x="270"/>
        <item h="1" x="64"/>
        <item h="1" x="123"/>
        <item h="1" x="292"/>
        <item h="1" x="381"/>
        <item h="1" x="160"/>
        <item h="1" x="273"/>
        <item h="1" x="118"/>
        <item h="1" x="76"/>
        <item h="1" x="163"/>
        <item h="1" x="383"/>
        <item h="1" x="21"/>
        <item h="1" x="50"/>
        <item h="1" x="190"/>
        <item h="1" x="179"/>
        <item h="1" x="27"/>
        <item h="1" x="294"/>
        <item h="1" x="360"/>
        <item h="1" x="335"/>
        <item h="1" x="45"/>
        <item h="1" x="6"/>
        <item h="1" x="404"/>
        <item h="1" x="33"/>
        <item h="1" x="306"/>
        <item t="default"/>
      </items>
    </pivotField>
    <pivotField showAll="0"/>
    <pivotField showAll="0"/>
    <pivotField showAll="0"/>
    <pivotField showAll="0"/>
    <pivotField showAll="0"/>
    <pivotField showAll="0"/>
    <pivotField showAll="0"/>
    <pivotField dataField="1" showAll="0"/>
    <pivotField showAll="0"/>
    <pivotField showAll="0"/>
    <pivotField showAll="0"/>
  </pivotFields>
  <rowFields count="1">
    <field x="3"/>
  </rowFields>
  <rowItems count="17">
    <i>
      <x/>
    </i>
    <i>
      <x v="4"/>
    </i>
    <i>
      <x v="7"/>
    </i>
    <i>
      <x v="15"/>
    </i>
    <i>
      <x v="1"/>
    </i>
    <i>
      <x v="10"/>
    </i>
    <i>
      <x v="8"/>
    </i>
    <i>
      <x v="9"/>
    </i>
    <i>
      <x v="16"/>
    </i>
    <i>
      <x v="5"/>
    </i>
    <i>
      <x v="3"/>
    </i>
    <i>
      <x v="2"/>
    </i>
    <i>
      <x v="14"/>
    </i>
    <i>
      <x v="11"/>
    </i>
    <i>
      <x v="12"/>
    </i>
    <i>
      <x v="13"/>
    </i>
    <i>
      <x v="6"/>
    </i>
  </rowItems>
  <colItems count="1">
    <i/>
  </colItems>
  <dataFields count="1">
    <dataField name="Sum of Revenue" fld="12" baseField="0" baseItem="0" numFmtId="43"/>
  </dataFields>
  <formats count="3">
    <format dxfId="2">
      <pivotArea outline="0" collapsedLevelsAreSubtotals="1" fieldPosition="0"/>
    </format>
    <format dxfId="1">
      <pivotArea collapsedLevelsAreSubtotals="1" fieldPosition="0">
        <references count="1">
          <reference field="3" count="10">
            <x v="0"/>
            <x v="1"/>
            <x v="4"/>
            <x v="5"/>
            <x v="7"/>
            <x v="8"/>
            <x v="9"/>
            <x v="10"/>
            <x v="15"/>
            <x v="16"/>
          </reference>
        </references>
      </pivotArea>
    </format>
    <format dxfId="0">
      <pivotArea collapsedLevelsAreSubtotals="1" fieldPosition="0">
        <references count="1">
          <reference field="3" count="7">
            <x v="2"/>
            <x v="3"/>
            <x v="6"/>
            <x v="11"/>
            <x v="12"/>
            <x v="13"/>
            <x v="14"/>
          </reference>
        </references>
      </pivotArea>
    </format>
  </formats>
  <chartFormats count="16">
    <chartFormat chart="2" format="32" series="1">
      <pivotArea type="data" outline="0" fieldPosition="0">
        <references count="1">
          <reference field="4294967294" count="1" selected="0">
            <x v="0"/>
          </reference>
        </references>
      </pivotArea>
    </chartFormat>
    <chartFormat chart="2" format="33">
      <pivotArea type="data" outline="0" fieldPosition="0">
        <references count="2">
          <reference field="4294967294" count="1" selected="0">
            <x v="0"/>
          </reference>
          <reference field="3" count="1" selected="0">
            <x v="0"/>
          </reference>
        </references>
      </pivotArea>
    </chartFormat>
    <chartFormat chart="2" format="34">
      <pivotArea type="data" outline="0" fieldPosition="0">
        <references count="2">
          <reference field="4294967294" count="1" selected="0">
            <x v="0"/>
          </reference>
          <reference field="3" count="1" selected="0">
            <x v="7"/>
          </reference>
        </references>
      </pivotArea>
    </chartFormat>
    <chartFormat chart="2" format="35">
      <pivotArea type="data" outline="0" fieldPosition="0">
        <references count="2">
          <reference field="4294967294" count="1" selected="0">
            <x v="0"/>
          </reference>
          <reference field="3" count="1" selected="0">
            <x v="15"/>
          </reference>
        </references>
      </pivotArea>
    </chartFormat>
    <chartFormat chart="2" format="36">
      <pivotArea type="data" outline="0" fieldPosition="0">
        <references count="2">
          <reference field="4294967294" count="1" selected="0">
            <x v="0"/>
          </reference>
          <reference field="3" count="1" selected="0">
            <x v="10"/>
          </reference>
        </references>
      </pivotArea>
    </chartFormat>
    <chartFormat chart="2" format="37">
      <pivotArea type="data" outline="0" fieldPosition="0">
        <references count="2">
          <reference field="4294967294" count="1" selected="0">
            <x v="0"/>
          </reference>
          <reference field="3" count="1" selected="0">
            <x v="8"/>
          </reference>
        </references>
      </pivotArea>
    </chartFormat>
    <chartFormat chart="2" format="38">
      <pivotArea type="data" outline="0" fieldPosition="0">
        <references count="2">
          <reference field="4294967294" count="1" selected="0">
            <x v="0"/>
          </reference>
          <reference field="3" count="1" selected="0">
            <x v="9"/>
          </reference>
        </references>
      </pivotArea>
    </chartFormat>
    <chartFormat chart="2" format="39">
      <pivotArea type="data" outline="0" fieldPosition="0">
        <references count="2">
          <reference field="4294967294" count="1" selected="0">
            <x v="0"/>
          </reference>
          <reference field="3" count="1" selected="0">
            <x v="16"/>
          </reference>
        </references>
      </pivotArea>
    </chartFormat>
    <chartFormat chart="2" format="40">
      <pivotArea type="data" outline="0" fieldPosition="0">
        <references count="2">
          <reference field="4294967294" count="1" selected="0">
            <x v="0"/>
          </reference>
          <reference field="3" count="1" selected="0">
            <x v="5"/>
          </reference>
        </references>
      </pivotArea>
    </chartFormat>
    <chartFormat chart="2" format="41">
      <pivotArea type="data" outline="0" fieldPosition="0">
        <references count="2">
          <reference field="4294967294" count="1" selected="0">
            <x v="0"/>
          </reference>
          <reference field="3" count="1" selected="0">
            <x v="3"/>
          </reference>
        </references>
      </pivotArea>
    </chartFormat>
    <chartFormat chart="2" format="42">
      <pivotArea type="data" outline="0" fieldPosition="0">
        <references count="2">
          <reference field="4294967294" count="1" selected="0">
            <x v="0"/>
          </reference>
          <reference field="3" count="1" selected="0">
            <x v="2"/>
          </reference>
        </references>
      </pivotArea>
    </chartFormat>
    <chartFormat chart="2" format="43">
      <pivotArea type="data" outline="0" fieldPosition="0">
        <references count="2">
          <reference field="4294967294" count="1" selected="0">
            <x v="0"/>
          </reference>
          <reference field="3" count="1" selected="0">
            <x v="14"/>
          </reference>
        </references>
      </pivotArea>
    </chartFormat>
    <chartFormat chart="2" format="44">
      <pivotArea type="data" outline="0" fieldPosition="0">
        <references count="2">
          <reference field="4294967294" count="1" selected="0">
            <x v="0"/>
          </reference>
          <reference field="3" count="1" selected="0">
            <x v="11"/>
          </reference>
        </references>
      </pivotArea>
    </chartFormat>
    <chartFormat chart="2" format="45">
      <pivotArea type="data" outline="0" fieldPosition="0">
        <references count="2">
          <reference field="4294967294" count="1" selected="0">
            <x v="0"/>
          </reference>
          <reference field="3" count="1" selected="0">
            <x v="12"/>
          </reference>
        </references>
      </pivotArea>
    </chartFormat>
    <chartFormat chart="2" format="46">
      <pivotArea type="data" outline="0" fieldPosition="0">
        <references count="2">
          <reference field="4294967294" count="1" selected="0">
            <x v="0"/>
          </reference>
          <reference field="3" count="1" selected="0">
            <x v="13"/>
          </reference>
        </references>
      </pivotArea>
    </chartFormat>
    <chartFormat chart="2" format="47">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DFA896C-91C4-459A-9827-FBAF9E702771}" name="PivotTable1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207:B224" firstHeaderRow="1" firstDataRow="1" firstDataCol="1"/>
  <pivotFields count="16">
    <pivotField showAll="0">
      <items count="50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t="default"/>
      </items>
    </pivotField>
    <pivotField numFmtId="14" showAll="0"/>
    <pivotField showAll="0">
      <items count="6">
        <item x="2"/>
        <item x="1"/>
        <item x="3"/>
        <item x="4"/>
        <item x="0"/>
        <item t="default"/>
      </items>
    </pivotField>
    <pivotField axis="axisRow" showAll="0">
      <items count="18">
        <item x="1"/>
        <item x="6"/>
        <item x="15"/>
        <item x="3"/>
        <item x="2"/>
        <item x="5"/>
        <item x="16"/>
        <item x="4"/>
        <item x="13"/>
        <item x="11"/>
        <item x="7"/>
        <item x="10"/>
        <item x="12"/>
        <item x="14"/>
        <item x="9"/>
        <item x="8"/>
        <item x="0"/>
        <item t="default"/>
      </items>
    </pivotField>
    <pivotField showAll="0">
      <items count="415">
        <item x="289"/>
        <item x="251"/>
        <item x="410"/>
        <item x="403"/>
        <item x="368"/>
        <item x="281"/>
        <item x="357"/>
        <item x="168"/>
        <item x="126"/>
        <item x="98"/>
        <item x="396"/>
        <item x="222"/>
        <item x="115"/>
        <item x="180"/>
        <item x="176"/>
        <item x="157"/>
        <item x="187"/>
        <item x="318"/>
        <item x="218"/>
        <item x="166"/>
        <item x="52"/>
        <item x="195"/>
        <item x="358"/>
        <item x="129"/>
        <item x="243"/>
        <item x="53"/>
        <item x="293"/>
        <item x="208"/>
        <item x="12"/>
        <item x="305"/>
        <item x="215"/>
        <item x="68"/>
        <item x="177"/>
        <item x="25"/>
        <item x="259"/>
        <item x="170"/>
        <item x="2"/>
        <item x="252"/>
        <item x="183"/>
        <item x="313"/>
        <item x="29"/>
        <item x="278"/>
        <item x="413"/>
        <item x="37"/>
        <item x="35"/>
        <item x="367"/>
        <item x="349"/>
        <item x="258"/>
        <item x="178"/>
        <item x="366"/>
        <item x="297"/>
        <item x="255"/>
        <item x="153"/>
        <item x="61"/>
        <item x="331"/>
        <item x="5"/>
        <item x="13"/>
        <item x="364"/>
        <item x="409"/>
        <item x="232"/>
        <item x="97"/>
        <item x="20"/>
        <item x="47"/>
        <item x="253"/>
        <item x="247"/>
        <item x="320"/>
        <item x="152"/>
        <item x="83"/>
        <item x="217"/>
        <item x="226"/>
        <item x="78"/>
        <item x="380"/>
        <item x="301"/>
        <item x="96"/>
        <item x="145"/>
        <item x="142"/>
        <item x="268"/>
        <item x="265"/>
        <item x="92"/>
        <item x="287"/>
        <item x="23"/>
        <item x="65"/>
        <item x="111"/>
        <item x="59"/>
        <item x="377"/>
        <item x="400"/>
        <item x="242"/>
        <item x="71"/>
        <item x="201"/>
        <item x="0"/>
        <item x="406"/>
        <item x="62"/>
        <item x="87"/>
        <item x="274"/>
        <item x="204"/>
        <item x="89"/>
        <item x="93"/>
        <item x="80"/>
        <item x="327"/>
        <item x="167"/>
        <item x="117"/>
        <item x="128"/>
        <item x="332"/>
        <item x="212"/>
        <item x="191"/>
        <item x="18"/>
        <item x="348"/>
        <item x="154"/>
        <item x="387"/>
        <item x="245"/>
        <item x="395"/>
        <item x="334"/>
        <item x="125"/>
        <item x="131"/>
        <item x="234"/>
        <item x="241"/>
        <item x="233"/>
        <item x="194"/>
        <item x="120"/>
        <item x="182"/>
        <item x="352"/>
        <item x="90"/>
        <item x="57"/>
        <item x="324"/>
        <item x="95"/>
        <item x="91"/>
        <item x="296"/>
        <item x="397"/>
        <item x="321"/>
        <item x="329"/>
        <item x="220"/>
        <item x="376"/>
        <item x="225"/>
        <item x="175"/>
        <item x="227"/>
        <item x="109"/>
        <item x="378"/>
        <item x="275"/>
        <item x="84"/>
        <item x="319"/>
        <item x="44"/>
        <item x="264"/>
        <item x="116"/>
        <item x="355"/>
        <item x="192"/>
        <item x="104"/>
        <item x="359"/>
        <item x="85"/>
        <item x="99"/>
        <item x="147"/>
        <item x="130"/>
        <item x="341"/>
        <item x="174"/>
        <item x="228"/>
        <item x="229"/>
        <item x="40"/>
        <item x="401"/>
        <item x="302"/>
        <item x="216"/>
        <item x="239"/>
        <item x="69"/>
        <item x="236"/>
        <item x="337"/>
        <item x="342"/>
        <item x="114"/>
        <item x="199"/>
        <item x="86"/>
        <item x="284"/>
        <item x="11"/>
        <item x="214"/>
        <item x="354"/>
        <item x="373"/>
        <item x="365"/>
        <item x="169"/>
        <item x="356"/>
        <item x="362"/>
        <item x="386"/>
        <item x="140"/>
        <item x="374"/>
        <item x="224"/>
        <item x="310"/>
        <item x="205"/>
        <item x="149"/>
        <item x="298"/>
        <item x="402"/>
        <item x="184"/>
        <item x="105"/>
        <item x="161"/>
        <item x="371"/>
        <item x="240"/>
        <item x="54"/>
        <item x="172"/>
        <item x="188"/>
        <item x="314"/>
        <item x="213"/>
        <item x="121"/>
        <item x="311"/>
        <item x="49"/>
        <item x="30"/>
        <item x="391"/>
        <item x="384"/>
        <item x="282"/>
        <item x="288"/>
        <item x="8"/>
        <item x="26"/>
        <item x="51"/>
        <item x="107"/>
        <item x="60"/>
        <item x="22"/>
        <item x="31"/>
        <item x="150"/>
        <item x="244"/>
        <item x="122"/>
        <item x="343"/>
        <item x="280"/>
        <item x="291"/>
        <item x="231"/>
        <item x="250"/>
        <item x="207"/>
        <item x="309"/>
        <item x="106"/>
        <item x="63"/>
        <item x="151"/>
        <item x="323"/>
        <item x="210"/>
        <item x="100"/>
        <item x="411"/>
        <item x="15"/>
        <item x="389"/>
        <item x="146"/>
        <item x="249"/>
        <item x="388"/>
        <item x="330"/>
        <item x="196"/>
        <item x="303"/>
        <item x="256"/>
        <item x="269"/>
        <item x="295"/>
        <item x="285"/>
        <item x="141"/>
        <item x="382"/>
        <item x="254"/>
        <item x="390"/>
        <item x="206"/>
        <item x="173"/>
        <item x="165"/>
        <item x="17"/>
        <item x="299"/>
        <item x="32"/>
        <item x="133"/>
        <item x="408"/>
        <item x="286"/>
        <item x="300"/>
        <item x="261"/>
        <item x="112"/>
        <item x="392"/>
        <item x="79"/>
        <item x="162"/>
        <item x="73"/>
        <item x="346"/>
        <item x="158"/>
        <item x="379"/>
        <item x="1"/>
        <item x="156"/>
        <item x="159"/>
        <item x="263"/>
        <item x="43"/>
        <item x="7"/>
        <item x="304"/>
        <item x="9"/>
        <item x="134"/>
        <item x="209"/>
        <item x="322"/>
        <item x="325"/>
        <item x="370"/>
        <item x="81"/>
        <item x="58"/>
        <item x="328"/>
        <item x="198"/>
        <item x="347"/>
        <item x="94"/>
        <item x="74"/>
        <item x="24"/>
        <item x="103"/>
        <item x="4"/>
        <item x="353"/>
        <item x="257"/>
        <item x="277"/>
        <item x="10"/>
        <item x="185"/>
        <item x="308"/>
        <item x="113"/>
        <item x="148"/>
        <item x="394"/>
        <item x="339"/>
        <item x="363"/>
        <item x="230"/>
        <item x="155"/>
        <item x="36"/>
        <item x="88"/>
        <item x="317"/>
        <item x="66"/>
        <item x="345"/>
        <item x="351"/>
        <item x="412"/>
        <item x="248"/>
        <item x="28"/>
        <item x="3"/>
        <item x="312"/>
        <item x="315"/>
        <item x="82"/>
        <item x="137"/>
        <item x="361"/>
        <item x="189"/>
        <item x="124"/>
        <item x="56"/>
        <item x="333"/>
        <item x="171"/>
        <item x="266"/>
        <item x="38"/>
        <item x="46"/>
        <item x="235"/>
        <item x="19"/>
        <item x="119"/>
        <item x="193"/>
        <item x="393"/>
        <item x="372"/>
        <item x="385"/>
        <item x="237"/>
        <item x="101"/>
        <item x="344"/>
        <item x="139"/>
        <item x="138"/>
        <item x="39"/>
        <item x="108"/>
        <item x="267"/>
        <item x="369"/>
        <item x="67"/>
        <item x="203"/>
        <item x="338"/>
        <item x="132"/>
        <item x="34"/>
        <item x="202"/>
        <item x="276"/>
        <item x="72"/>
        <item x="42"/>
        <item x="77"/>
        <item x="14"/>
        <item x="336"/>
        <item x="398"/>
        <item x="197"/>
        <item x="70"/>
        <item x="260"/>
        <item x="136"/>
        <item x="279"/>
        <item x="326"/>
        <item x="200"/>
        <item x="405"/>
        <item x="221"/>
        <item x="307"/>
        <item x="290"/>
        <item x="350"/>
        <item x="340"/>
        <item x="102"/>
        <item x="238"/>
        <item x="135"/>
        <item x="143"/>
        <item x="262"/>
        <item x="48"/>
        <item x="211"/>
        <item x="272"/>
        <item x="186"/>
        <item x="110"/>
        <item x="219"/>
        <item x="407"/>
        <item x="181"/>
        <item x="271"/>
        <item x="399"/>
        <item x="223"/>
        <item x="41"/>
        <item x="127"/>
        <item x="75"/>
        <item x="246"/>
        <item x="144"/>
        <item x="16"/>
        <item x="55"/>
        <item x="316"/>
        <item x="283"/>
        <item x="375"/>
        <item x="164"/>
        <item x="270"/>
        <item x="64"/>
        <item x="123"/>
        <item x="292"/>
        <item x="381"/>
        <item x="160"/>
        <item x="273"/>
        <item x="118"/>
        <item x="76"/>
        <item x="163"/>
        <item x="383"/>
        <item x="21"/>
        <item x="50"/>
        <item x="190"/>
        <item x="179"/>
        <item x="27"/>
        <item x="294"/>
        <item x="360"/>
        <item x="335"/>
        <item x="45"/>
        <item x="6"/>
        <item x="404"/>
        <item x="33"/>
        <item x="306"/>
        <item t="default"/>
      </items>
    </pivotField>
    <pivotField showAll="0">
      <items count="41">
        <item x="0"/>
        <item x="23"/>
        <item x="19"/>
        <item x="6"/>
        <item x="21"/>
        <item x="12"/>
        <item x="14"/>
        <item x="3"/>
        <item x="1"/>
        <item x="18"/>
        <item x="38"/>
        <item x="30"/>
        <item x="27"/>
        <item x="16"/>
        <item x="28"/>
        <item x="22"/>
        <item x="31"/>
        <item x="35"/>
        <item x="4"/>
        <item x="8"/>
        <item x="39"/>
        <item x="33"/>
        <item x="37"/>
        <item x="24"/>
        <item x="29"/>
        <item x="7"/>
        <item x="5"/>
        <item x="17"/>
        <item x="9"/>
        <item x="34"/>
        <item x="10"/>
        <item x="25"/>
        <item x="26"/>
        <item x="2"/>
        <item x="36"/>
        <item x="20"/>
        <item x="15"/>
        <item x="11"/>
        <item x="13"/>
        <item x="32"/>
        <item t="default"/>
      </items>
    </pivotField>
    <pivotField showAll="0"/>
    <pivotField showAll="0"/>
    <pivotField showAll="0"/>
    <pivotField showAll="0"/>
    <pivotField showAll="0"/>
    <pivotField showAll="0"/>
    <pivotField showAll="0"/>
    <pivotField dataField="1" showAll="0"/>
    <pivotField showAll="0">
      <items count="487">
        <item x="405"/>
        <item x="128"/>
        <item x="207"/>
        <item x="156"/>
        <item x="375"/>
        <item x="193"/>
        <item x="141"/>
        <item x="276"/>
        <item x="20"/>
        <item x="382"/>
        <item x="65"/>
        <item x="46"/>
        <item x="239"/>
        <item x="228"/>
        <item x="12"/>
        <item x="379"/>
        <item x="55"/>
        <item x="195"/>
        <item x="218"/>
        <item x="7"/>
        <item x="350"/>
        <item x="442"/>
        <item x="53"/>
        <item x="459"/>
        <item x="42"/>
        <item x="62"/>
        <item x="110"/>
        <item x="374"/>
        <item x="158"/>
        <item x="250"/>
        <item x="165"/>
        <item x="22"/>
        <item x="462"/>
        <item x="474"/>
        <item x="257"/>
        <item x="454"/>
        <item x="15"/>
        <item x="455"/>
        <item x="463"/>
        <item x="252"/>
        <item x="13"/>
        <item x="258"/>
        <item x="78"/>
        <item x="363"/>
        <item x="293"/>
        <item x="457"/>
        <item x="215"/>
        <item x="261"/>
        <item x="118"/>
        <item x="170"/>
        <item x="60"/>
        <item x="41"/>
        <item x="465"/>
        <item x="472"/>
        <item x="263"/>
        <item x="241"/>
        <item x="202"/>
        <item x="275"/>
        <item x="378"/>
        <item x="112"/>
        <item x="453"/>
        <item x="74"/>
        <item x="37"/>
        <item x="337"/>
        <item x="464"/>
        <item x="231"/>
        <item x="428"/>
        <item x="264"/>
        <item x="177"/>
        <item x="389"/>
        <item x="69"/>
        <item x="397"/>
        <item x="251"/>
        <item x="338"/>
        <item x="475"/>
        <item x="226"/>
        <item x="146"/>
        <item x="320"/>
        <item x="8"/>
        <item x="26"/>
        <item x="21"/>
        <item x="260"/>
        <item x="32"/>
        <item x="40"/>
        <item x="436"/>
        <item x="395"/>
        <item x="67"/>
        <item x="451"/>
        <item x="433"/>
        <item x="122"/>
        <item x="466"/>
        <item x="386"/>
        <item x="152"/>
        <item x="188"/>
        <item x="336"/>
        <item x="477"/>
        <item x="117"/>
        <item x="485"/>
        <item x="71"/>
        <item x="191"/>
        <item x="418"/>
        <item x="308"/>
        <item x="159"/>
        <item x="278"/>
        <item x="18"/>
        <item x="452"/>
        <item x="285"/>
        <item x="90"/>
        <item x="287"/>
        <item x="450"/>
        <item x="111"/>
        <item x="36"/>
        <item x="100"/>
        <item x="246"/>
        <item x="306"/>
        <item x="72"/>
        <item x="435"/>
        <item x="473"/>
        <item x="437"/>
        <item x="38"/>
        <item x="164"/>
        <item x="237"/>
        <item x="57"/>
        <item x="115"/>
        <item x="373"/>
        <item x="394"/>
        <item x="416"/>
        <item x="249"/>
        <item x="137"/>
        <item x="348"/>
        <item x="401"/>
        <item x="120"/>
        <item x="1"/>
        <item x="421"/>
        <item x="387"/>
        <item x="368"/>
        <item x="449"/>
        <item x="392"/>
        <item x="381"/>
        <item x="86"/>
        <item x="178"/>
        <item x="346"/>
        <item x="75"/>
        <item x="284"/>
        <item x="108"/>
        <item x="163"/>
        <item x="383"/>
        <item x="181"/>
        <item x="171"/>
        <item x="131"/>
        <item x="203"/>
        <item x="262"/>
        <item x="235"/>
        <item x="126"/>
        <item x="316"/>
        <item x="356"/>
        <item x="331"/>
        <item x="430"/>
        <item x="54"/>
        <item x="282"/>
        <item x="91"/>
        <item x="102"/>
        <item x="19"/>
        <item x="45"/>
        <item x="136"/>
        <item x="245"/>
        <item x="204"/>
        <item x="307"/>
        <item x="390"/>
        <item x="274"/>
        <item x="328"/>
        <item x="97"/>
        <item x="470"/>
        <item x="94"/>
        <item x="479"/>
        <item x="425"/>
        <item x="29"/>
        <item x="409"/>
        <item x="95"/>
        <item x="61"/>
        <item x="43"/>
        <item x="445"/>
        <item x="402"/>
        <item x="16"/>
        <item x="469"/>
        <item x="271"/>
        <item x="484"/>
        <item x="197"/>
        <item x="2"/>
        <item x="229"/>
        <item x="447"/>
        <item x="189"/>
        <item x="330"/>
        <item x="400"/>
        <item x="334"/>
        <item x="290"/>
        <item x="456"/>
        <item x="411"/>
        <item x="242"/>
        <item x="155"/>
        <item x="310"/>
        <item x="353"/>
        <item x="266"/>
        <item x="224"/>
        <item x="272"/>
        <item x="147"/>
        <item x="403"/>
        <item x="119"/>
        <item x="298"/>
        <item x="133"/>
        <item x="318"/>
        <item x="279"/>
        <item x="212"/>
        <item x="223"/>
        <item x="327"/>
        <item x="281"/>
        <item x="446"/>
        <item x="14"/>
        <item x="273"/>
        <item x="6"/>
        <item x="280"/>
        <item x="104"/>
        <item x="407"/>
        <item x="96"/>
        <item x="153"/>
        <item x="267"/>
        <item x="458"/>
        <item x="183"/>
        <item x="105"/>
        <item x="166"/>
        <item x="125"/>
        <item x="410"/>
        <item x="23"/>
        <item x="354"/>
        <item x="291"/>
        <item x="322"/>
        <item x="253"/>
        <item x="359"/>
        <item x="238"/>
        <item x="347"/>
        <item x="468"/>
        <item x="329"/>
        <item x="343"/>
        <item x="248"/>
        <item x="34"/>
        <item x="345"/>
        <item x="254"/>
        <item x="277"/>
        <item x="116"/>
        <item x="404"/>
        <item x="240"/>
        <item x="289"/>
        <item x="478"/>
        <item x="317"/>
        <item x="87"/>
        <item x="134"/>
        <item x="213"/>
        <item x="101"/>
        <item x="114"/>
        <item x="157"/>
        <item x="219"/>
        <item x="194"/>
        <item x="431"/>
        <item x="44"/>
        <item x="187"/>
        <item x="160"/>
        <item x="50"/>
        <item x="385"/>
        <item x="77"/>
        <item x="185"/>
        <item x="352"/>
        <item x="480"/>
        <item x="301"/>
        <item x="5"/>
        <item x="299"/>
        <item x="211"/>
        <item x="127"/>
        <item x="362"/>
        <item x="89"/>
        <item x="256"/>
        <item x="269"/>
        <item x="113"/>
        <item x="209"/>
        <item x="412"/>
        <item x="99"/>
        <item x="321"/>
        <item x="314"/>
        <item x="47"/>
        <item x="151"/>
        <item x="205"/>
        <item x="179"/>
        <item x="323"/>
        <item x="123"/>
        <item x="426"/>
        <item x="9"/>
        <item x="230"/>
        <item x="483"/>
        <item x="286"/>
        <item x="361"/>
        <item x="408"/>
        <item x="461"/>
        <item x="92"/>
        <item x="84"/>
        <item x="58"/>
        <item x="199"/>
        <item x="440"/>
        <item x="438"/>
        <item x="73"/>
        <item x="93"/>
        <item x="35"/>
        <item x="351"/>
        <item x="296"/>
        <item x="83"/>
        <item x="142"/>
        <item x="364"/>
        <item x="68"/>
        <item x="365"/>
        <item x="222"/>
        <item x="169"/>
        <item x="303"/>
        <item x="154"/>
        <item x="3"/>
        <item x="265"/>
        <item x="481"/>
        <item x="357"/>
        <item x="109"/>
        <item x="206"/>
        <item x="135"/>
        <item x="367"/>
        <item x="297"/>
        <item x="283"/>
        <item x="4"/>
        <item x="444"/>
        <item x="315"/>
        <item x="419"/>
        <item x="393"/>
        <item x="30"/>
        <item x="377"/>
        <item x="309"/>
        <item x="369"/>
        <item x="372"/>
        <item x="150"/>
        <item x="168"/>
        <item x="217"/>
        <item x="300"/>
        <item x="51"/>
        <item x="63"/>
        <item x="56"/>
        <item x="304"/>
        <item x="138"/>
        <item x="176"/>
        <item x="288"/>
        <item x="59"/>
        <item x="162"/>
        <item x="85"/>
        <item x="201"/>
        <item x="342"/>
        <item x="140"/>
        <item x="161"/>
        <item x="80"/>
        <item x="70"/>
        <item x="341"/>
        <item x="427"/>
        <item x="167"/>
        <item x="302"/>
        <item x="380"/>
        <item x="220"/>
        <item x="17"/>
        <item x="129"/>
        <item x="198"/>
        <item x="221"/>
        <item x="24"/>
        <item x="324"/>
        <item x="326"/>
        <item x="236"/>
        <item x="270"/>
        <item x="406"/>
        <item x="106"/>
        <item x="208"/>
        <item x="144"/>
        <item x="88"/>
        <item x="312"/>
        <item x="319"/>
        <item x="174"/>
        <item x="349"/>
        <item x="190"/>
        <item x="184"/>
        <item x="107"/>
        <item x="31"/>
        <item x="82"/>
        <item x="335"/>
        <item x="295"/>
        <item x="366"/>
        <item x="48"/>
        <item x="424"/>
        <item x="476"/>
        <item x="413"/>
        <item x="305"/>
        <item x="52"/>
        <item x="196"/>
        <item x="103"/>
        <item x="396"/>
        <item x="180"/>
        <item x="333"/>
        <item x="139"/>
        <item x="214"/>
        <item x="11"/>
        <item x="371"/>
        <item x="124"/>
        <item x="268"/>
        <item x="33"/>
        <item x="423"/>
        <item x="332"/>
        <item x="27"/>
        <item x="243"/>
        <item x="225"/>
        <item x="98"/>
        <item x="200"/>
        <item x="384"/>
        <item x="432"/>
        <item x="232"/>
        <item x="145"/>
        <item x="247"/>
        <item x="0"/>
        <item x="172"/>
        <item x="132"/>
        <item x="76"/>
        <item x="360"/>
        <item x="234"/>
        <item x="391"/>
        <item x="340"/>
        <item x="443"/>
        <item x="173"/>
        <item x="429"/>
        <item x="417"/>
        <item x="130"/>
        <item x="255"/>
        <item x="441"/>
        <item x="420"/>
        <item x="311"/>
        <item x="370"/>
        <item x="399"/>
        <item x="143"/>
        <item x="25"/>
        <item x="422"/>
        <item x="186"/>
        <item x="192"/>
        <item x="244"/>
        <item x="398"/>
        <item x="149"/>
        <item x="66"/>
        <item x="415"/>
        <item x="313"/>
        <item x="216"/>
        <item x="49"/>
        <item x="292"/>
        <item x="182"/>
        <item x="388"/>
        <item x="358"/>
        <item x="39"/>
        <item x="81"/>
        <item x="439"/>
        <item x="79"/>
        <item x="325"/>
        <item x="471"/>
        <item x="210"/>
        <item x="339"/>
        <item x="376"/>
        <item x="434"/>
        <item x="227"/>
        <item x="259"/>
        <item x="355"/>
        <item x="448"/>
        <item x="10"/>
        <item x="467"/>
        <item x="175"/>
        <item x="294"/>
        <item x="482"/>
        <item x="233"/>
        <item x="414"/>
        <item x="121"/>
        <item x="148"/>
        <item x="64"/>
        <item x="28"/>
        <item x="460"/>
        <item x="344"/>
        <item t="default"/>
      </items>
    </pivotField>
    <pivotField showAll="0">
      <items count="5">
        <item x="0"/>
        <item x="3"/>
        <item x="2"/>
        <item x="1"/>
        <item t="default"/>
      </items>
    </pivotField>
  </pivotFields>
  <rowFields count="1">
    <field x="3"/>
  </rowFields>
  <rowItems count="17">
    <i>
      <x/>
    </i>
    <i>
      <x v="1"/>
    </i>
    <i>
      <x v="2"/>
    </i>
    <i>
      <x v="3"/>
    </i>
    <i>
      <x v="4"/>
    </i>
    <i>
      <x v="5"/>
    </i>
    <i>
      <x v="6"/>
    </i>
    <i>
      <x v="7"/>
    </i>
    <i>
      <x v="8"/>
    </i>
    <i>
      <x v="9"/>
    </i>
    <i>
      <x v="10"/>
    </i>
    <i>
      <x v="11"/>
    </i>
    <i>
      <x v="12"/>
    </i>
    <i>
      <x v="13"/>
    </i>
    <i>
      <x v="14"/>
    </i>
    <i>
      <x v="15"/>
    </i>
    <i>
      <x v="16"/>
    </i>
  </rowItems>
  <colItems count="1">
    <i/>
  </colItems>
  <dataFields count="1">
    <dataField name="Sum of Profit" fld="13" baseField="0" baseItem="0"/>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4E8661B-7EC8-47AF-9184-B37B85C1A6E8}" name="PivotTable1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location ref="G2:H12" firstHeaderRow="1" firstDataRow="1" firstDataCol="1"/>
  <pivotFields count="16">
    <pivotField showAll="0"/>
    <pivotField numFmtId="14" showAll="0"/>
    <pivotField showAll="0"/>
    <pivotField showAll="0">
      <items count="18">
        <item x="1"/>
        <item x="6"/>
        <item x="15"/>
        <item x="3"/>
        <item x="2"/>
        <item x="5"/>
        <item x="16"/>
        <item x="4"/>
        <item x="13"/>
        <item x="11"/>
        <item x="7"/>
        <item x="10"/>
        <item x="12"/>
        <item x="14"/>
        <item x="9"/>
        <item x="8"/>
        <item x="0"/>
        <item t="default"/>
      </items>
    </pivotField>
    <pivotField axis="axisRow" showAll="0" measureFilter="1" sortType="descending">
      <items count="415">
        <item x="289"/>
        <item x="251"/>
        <item x="410"/>
        <item x="403"/>
        <item x="368"/>
        <item x="281"/>
        <item x="357"/>
        <item x="168"/>
        <item x="126"/>
        <item x="98"/>
        <item x="396"/>
        <item x="222"/>
        <item x="115"/>
        <item x="180"/>
        <item x="176"/>
        <item x="157"/>
        <item x="187"/>
        <item x="318"/>
        <item x="218"/>
        <item x="166"/>
        <item x="52"/>
        <item x="195"/>
        <item x="358"/>
        <item x="129"/>
        <item x="243"/>
        <item x="53"/>
        <item x="293"/>
        <item x="208"/>
        <item x="12"/>
        <item x="305"/>
        <item x="215"/>
        <item x="68"/>
        <item x="177"/>
        <item x="25"/>
        <item x="259"/>
        <item x="170"/>
        <item x="2"/>
        <item x="252"/>
        <item x="183"/>
        <item x="313"/>
        <item x="29"/>
        <item x="278"/>
        <item x="413"/>
        <item x="37"/>
        <item x="35"/>
        <item x="367"/>
        <item x="349"/>
        <item x="258"/>
        <item x="178"/>
        <item x="366"/>
        <item x="297"/>
        <item x="255"/>
        <item x="153"/>
        <item x="61"/>
        <item x="331"/>
        <item x="5"/>
        <item x="13"/>
        <item x="364"/>
        <item x="409"/>
        <item x="232"/>
        <item x="97"/>
        <item x="20"/>
        <item x="47"/>
        <item x="253"/>
        <item x="247"/>
        <item x="320"/>
        <item x="152"/>
        <item x="83"/>
        <item x="217"/>
        <item x="226"/>
        <item x="78"/>
        <item x="380"/>
        <item x="301"/>
        <item x="96"/>
        <item x="145"/>
        <item x="142"/>
        <item x="268"/>
        <item x="265"/>
        <item x="92"/>
        <item x="287"/>
        <item x="23"/>
        <item x="65"/>
        <item x="111"/>
        <item x="59"/>
        <item x="377"/>
        <item x="400"/>
        <item x="242"/>
        <item x="71"/>
        <item x="201"/>
        <item x="0"/>
        <item x="406"/>
        <item x="62"/>
        <item x="87"/>
        <item x="274"/>
        <item x="204"/>
        <item x="89"/>
        <item x="93"/>
        <item x="80"/>
        <item x="327"/>
        <item x="167"/>
        <item x="117"/>
        <item x="128"/>
        <item x="332"/>
        <item x="212"/>
        <item x="191"/>
        <item x="18"/>
        <item x="348"/>
        <item x="154"/>
        <item x="387"/>
        <item x="245"/>
        <item x="395"/>
        <item x="334"/>
        <item x="125"/>
        <item x="131"/>
        <item x="234"/>
        <item x="241"/>
        <item x="233"/>
        <item x="194"/>
        <item x="120"/>
        <item x="182"/>
        <item x="352"/>
        <item x="90"/>
        <item x="57"/>
        <item x="324"/>
        <item x="95"/>
        <item x="91"/>
        <item x="296"/>
        <item x="397"/>
        <item x="321"/>
        <item x="329"/>
        <item x="220"/>
        <item x="376"/>
        <item x="225"/>
        <item x="175"/>
        <item x="227"/>
        <item x="109"/>
        <item x="378"/>
        <item x="275"/>
        <item x="84"/>
        <item x="319"/>
        <item x="44"/>
        <item x="264"/>
        <item x="116"/>
        <item x="355"/>
        <item x="192"/>
        <item x="104"/>
        <item x="359"/>
        <item x="85"/>
        <item x="99"/>
        <item x="147"/>
        <item x="130"/>
        <item x="341"/>
        <item x="174"/>
        <item x="228"/>
        <item x="229"/>
        <item x="40"/>
        <item x="401"/>
        <item x="302"/>
        <item x="216"/>
        <item x="239"/>
        <item x="69"/>
        <item x="236"/>
        <item x="337"/>
        <item x="342"/>
        <item x="114"/>
        <item x="199"/>
        <item x="86"/>
        <item x="284"/>
        <item x="11"/>
        <item x="214"/>
        <item x="354"/>
        <item x="373"/>
        <item x="365"/>
        <item x="169"/>
        <item x="356"/>
        <item x="362"/>
        <item x="386"/>
        <item x="140"/>
        <item x="374"/>
        <item x="224"/>
        <item x="310"/>
        <item x="205"/>
        <item x="149"/>
        <item x="298"/>
        <item x="402"/>
        <item x="184"/>
        <item x="105"/>
        <item x="161"/>
        <item x="371"/>
        <item x="240"/>
        <item x="54"/>
        <item x="172"/>
        <item x="188"/>
        <item x="314"/>
        <item x="213"/>
        <item x="121"/>
        <item x="311"/>
        <item x="49"/>
        <item x="30"/>
        <item x="391"/>
        <item x="384"/>
        <item x="282"/>
        <item x="288"/>
        <item x="8"/>
        <item x="26"/>
        <item x="51"/>
        <item x="107"/>
        <item x="60"/>
        <item x="22"/>
        <item x="31"/>
        <item x="150"/>
        <item x="244"/>
        <item x="122"/>
        <item x="343"/>
        <item x="280"/>
        <item x="291"/>
        <item x="231"/>
        <item x="250"/>
        <item x="207"/>
        <item x="309"/>
        <item x="106"/>
        <item x="63"/>
        <item x="151"/>
        <item x="323"/>
        <item x="210"/>
        <item x="100"/>
        <item x="411"/>
        <item x="15"/>
        <item x="389"/>
        <item x="146"/>
        <item x="249"/>
        <item x="388"/>
        <item x="330"/>
        <item x="196"/>
        <item x="303"/>
        <item x="256"/>
        <item x="269"/>
        <item x="295"/>
        <item x="285"/>
        <item x="141"/>
        <item x="382"/>
        <item x="254"/>
        <item x="390"/>
        <item x="206"/>
        <item x="173"/>
        <item x="165"/>
        <item x="17"/>
        <item x="299"/>
        <item x="32"/>
        <item x="133"/>
        <item x="408"/>
        <item x="286"/>
        <item x="300"/>
        <item x="261"/>
        <item x="112"/>
        <item x="392"/>
        <item x="79"/>
        <item x="162"/>
        <item x="73"/>
        <item x="346"/>
        <item x="158"/>
        <item x="379"/>
        <item x="1"/>
        <item x="156"/>
        <item x="159"/>
        <item x="263"/>
        <item x="43"/>
        <item x="7"/>
        <item x="304"/>
        <item x="9"/>
        <item x="134"/>
        <item x="209"/>
        <item x="322"/>
        <item x="325"/>
        <item x="370"/>
        <item x="81"/>
        <item x="58"/>
        <item x="328"/>
        <item x="198"/>
        <item x="347"/>
        <item x="94"/>
        <item x="74"/>
        <item x="24"/>
        <item x="103"/>
        <item x="4"/>
        <item x="353"/>
        <item x="257"/>
        <item x="277"/>
        <item x="10"/>
        <item x="185"/>
        <item x="308"/>
        <item x="113"/>
        <item x="148"/>
        <item x="394"/>
        <item x="339"/>
        <item x="363"/>
        <item x="230"/>
        <item x="155"/>
        <item x="36"/>
        <item x="88"/>
        <item x="317"/>
        <item x="66"/>
        <item x="345"/>
        <item x="351"/>
        <item x="412"/>
        <item x="248"/>
        <item x="28"/>
        <item x="3"/>
        <item x="312"/>
        <item x="315"/>
        <item x="82"/>
        <item x="137"/>
        <item x="361"/>
        <item x="189"/>
        <item x="124"/>
        <item x="56"/>
        <item x="333"/>
        <item x="171"/>
        <item x="266"/>
        <item x="38"/>
        <item x="46"/>
        <item x="235"/>
        <item x="19"/>
        <item x="119"/>
        <item x="193"/>
        <item x="393"/>
        <item x="372"/>
        <item x="385"/>
        <item x="237"/>
        <item x="101"/>
        <item x="344"/>
        <item x="139"/>
        <item x="138"/>
        <item x="39"/>
        <item x="108"/>
        <item x="267"/>
        <item x="369"/>
        <item x="67"/>
        <item x="203"/>
        <item x="338"/>
        <item x="132"/>
        <item x="34"/>
        <item x="202"/>
        <item x="276"/>
        <item x="72"/>
        <item x="42"/>
        <item x="77"/>
        <item x="14"/>
        <item x="336"/>
        <item x="398"/>
        <item x="197"/>
        <item x="70"/>
        <item x="260"/>
        <item x="136"/>
        <item x="279"/>
        <item x="326"/>
        <item x="200"/>
        <item x="405"/>
        <item x="221"/>
        <item x="307"/>
        <item x="290"/>
        <item x="350"/>
        <item x="340"/>
        <item x="102"/>
        <item x="238"/>
        <item x="135"/>
        <item x="143"/>
        <item x="262"/>
        <item x="48"/>
        <item x="211"/>
        <item x="272"/>
        <item x="186"/>
        <item x="110"/>
        <item x="219"/>
        <item x="407"/>
        <item x="181"/>
        <item x="271"/>
        <item x="399"/>
        <item x="223"/>
        <item x="41"/>
        <item x="127"/>
        <item x="75"/>
        <item x="246"/>
        <item x="144"/>
        <item x="16"/>
        <item x="55"/>
        <item x="316"/>
        <item x="283"/>
        <item x="375"/>
        <item x="164"/>
        <item x="270"/>
        <item x="64"/>
        <item x="123"/>
        <item x="292"/>
        <item x="381"/>
        <item x="160"/>
        <item x="273"/>
        <item x="118"/>
        <item x="76"/>
        <item x="163"/>
        <item x="383"/>
        <item x="21"/>
        <item x="50"/>
        <item x="190"/>
        <item x="179"/>
        <item x="27"/>
        <item x="294"/>
        <item x="360"/>
        <item x="335"/>
        <item x="45"/>
        <item x="6"/>
        <item x="404"/>
        <item x="33"/>
        <item x="306"/>
        <item t="default"/>
      </items>
      <autoSortScope>
        <pivotArea dataOnly="0" outline="0" fieldPosition="0">
          <references count="1">
            <reference field="4294967294" count="1" selected="0">
              <x v="0"/>
            </reference>
          </references>
        </pivotArea>
      </autoSortScope>
    </pivotField>
    <pivotField showAll="0">
      <items count="41">
        <item x="0"/>
        <item x="23"/>
        <item x="19"/>
        <item x="6"/>
        <item x="21"/>
        <item x="12"/>
        <item x="14"/>
        <item x="3"/>
        <item x="1"/>
        <item x="18"/>
        <item x="38"/>
        <item x="30"/>
        <item x="27"/>
        <item x="16"/>
        <item x="28"/>
        <item x="22"/>
        <item x="31"/>
        <item x="35"/>
        <item x="4"/>
        <item x="8"/>
        <item x="39"/>
        <item x="33"/>
        <item x="37"/>
        <item x="24"/>
        <item x="29"/>
        <item x="7"/>
        <item x="5"/>
        <item x="17"/>
        <item x="9"/>
        <item x="34"/>
        <item x="10"/>
        <item x="25"/>
        <item x="26"/>
        <item x="2"/>
        <item x="36"/>
        <item x="20"/>
        <item x="15"/>
        <item x="11"/>
        <item x="13"/>
        <item x="32"/>
        <item t="default"/>
      </items>
    </pivotField>
    <pivotField showAll="0"/>
    <pivotField showAll="0"/>
    <pivotField showAll="0"/>
    <pivotField showAll="0"/>
    <pivotField showAll="0"/>
    <pivotField showAll="0"/>
    <pivotField showAll="0"/>
    <pivotField showAll="0"/>
    <pivotField dataField="1" showAll="0">
      <items count="487">
        <item x="405"/>
        <item x="128"/>
        <item x="207"/>
        <item x="156"/>
        <item x="375"/>
        <item x="193"/>
        <item x="141"/>
        <item x="276"/>
        <item x="20"/>
        <item x="382"/>
        <item x="65"/>
        <item x="46"/>
        <item x="239"/>
        <item x="228"/>
        <item x="12"/>
        <item x="379"/>
        <item x="55"/>
        <item x="195"/>
        <item x="218"/>
        <item x="7"/>
        <item x="350"/>
        <item x="442"/>
        <item x="53"/>
        <item x="459"/>
        <item x="42"/>
        <item x="62"/>
        <item x="110"/>
        <item x="374"/>
        <item x="158"/>
        <item x="250"/>
        <item x="165"/>
        <item x="22"/>
        <item x="462"/>
        <item x="474"/>
        <item x="257"/>
        <item x="454"/>
        <item x="15"/>
        <item x="455"/>
        <item x="463"/>
        <item x="252"/>
        <item x="13"/>
        <item x="258"/>
        <item x="78"/>
        <item x="363"/>
        <item x="293"/>
        <item x="457"/>
        <item x="215"/>
        <item x="261"/>
        <item x="118"/>
        <item x="170"/>
        <item x="60"/>
        <item x="41"/>
        <item x="465"/>
        <item x="472"/>
        <item x="263"/>
        <item x="241"/>
        <item x="202"/>
        <item x="275"/>
        <item x="378"/>
        <item x="112"/>
        <item x="453"/>
        <item x="74"/>
        <item x="37"/>
        <item x="337"/>
        <item x="464"/>
        <item x="231"/>
        <item x="428"/>
        <item x="264"/>
        <item x="177"/>
        <item x="389"/>
        <item x="69"/>
        <item x="397"/>
        <item x="251"/>
        <item x="338"/>
        <item x="475"/>
        <item x="226"/>
        <item x="146"/>
        <item x="320"/>
        <item x="8"/>
        <item x="26"/>
        <item x="21"/>
        <item x="260"/>
        <item x="32"/>
        <item x="40"/>
        <item x="436"/>
        <item x="395"/>
        <item x="67"/>
        <item x="451"/>
        <item x="433"/>
        <item x="122"/>
        <item x="466"/>
        <item x="386"/>
        <item x="152"/>
        <item x="188"/>
        <item x="336"/>
        <item x="477"/>
        <item x="117"/>
        <item x="485"/>
        <item x="71"/>
        <item x="191"/>
        <item x="418"/>
        <item x="308"/>
        <item x="159"/>
        <item x="278"/>
        <item x="18"/>
        <item x="452"/>
        <item x="285"/>
        <item x="90"/>
        <item x="287"/>
        <item x="450"/>
        <item x="111"/>
        <item x="36"/>
        <item x="100"/>
        <item x="246"/>
        <item x="306"/>
        <item x="72"/>
        <item x="435"/>
        <item x="473"/>
        <item x="437"/>
        <item x="38"/>
        <item x="164"/>
        <item x="237"/>
        <item x="57"/>
        <item x="115"/>
        <item x="373"/>
        <item x="394"/>
        <item x="416"/>
        <item x="249"/>
        <item x="137"/>
        <item x="348"/>
        <item x="401"/>
        <item x="120"/>
        <item x="1"/>
        <item x="421"/>
        <item x="387"/>
        <item x="368"/>
        <item x="449"/>
        <item x="392"/>
        <item x="381"/>
        <item x="86"/>
        <item x="178"/>
        <item x="346"/>
        <item x="75"/>
        <item x="284"/>
        <item x="108"/>
        <item x="163"/>
        <item x="383"/>
        <item x="181"/>
        <item x="171"/>
        <item x="131"/>
        <item x="203"/>
        <item x="262"/>
        <item x="235"/>
        <item x="126"/>
        <item x="316"/>
        <item x="356"/>
        <item x="331"/>
        <item x="430"/>
        <item x="54"/>
        <item x="282"/>
        <item x="91"/>
        <item x="102"/>
        <item x="19"/>
        <item x="45"/>
        <item x="136"/>
        <item x="245"/>
        <item x="204"/>
        <item x="307"/>
        <item x="390"/>
        <item x="274"/>
        <item x="328"/>
        <item x="97"/>
        <item x="470"/>
        <item x="94"/>
        <item x="479"/>
        <item x="425"/>
        <item x="29"/>
        <item x="409"/>
        <item x="95"/>
        <item x="61"/>
        <item x="43"/>
        <item x="445"/>
        <item x="402"/>
        <item x="16"/>
        <item x="469"/>
        <item x="271"/>
        <item x="484"/>
        <item x="197"/>
        <item x="2"/>
        <item x="229"/>
        <item x="447"/>
        <item x="189"/>
        <item x="330"/>
        <item x="400"/>
        <item x="334"/>
        <item x="290"/>
        <item x="456"/>
        <item x="411"/>
        <item x="242"/>
        <item x="155"/>
        <item x="310"/>
        <item x="353"/>
        <item x="266"/>
        <item x="224"/>
        <item x="272"/>
        <item x="147"/>
        <item x="403"/>
        <item x="119"/>
        <item x="298"/>
        <item x="133"/>
        <item x="318"/>
        <item x="279"/>
        <item x="212"/>
        <item x="223"/>
        <item x="327"/>
        <item x="281"/>
        <item x="446"/>
        <item x="14"/>
        <item x="273"/>
        <item x="6"/>
        <item x="280"/>
        <item x="104"/>
        <item x="407"/>
        <item x="96"/>
        <item x="153"/>
        <item x="267"/>
        <item x="458"/>
        <item x="183"/>
        <item x="105"/>
        <item x="166"/>
        <item x="125"/>
        <item x="410"/>
        <item x="23"/>
        <item x="354"/>
        <item x="291"/>
        <item x="322"/>
        <item x="253"/>
        <item x="359"/>
        <item x="238"/>
        <item x="347"/>
        <item x="468"/>
        <item x="329"/>
        <item x="343"/>
        <item x="248"/>
        <item x="34"/>
        <item x="345"/>
        <item x="254"/>
        <item x="277"/>
        <item x="116"/>
        <item x="404"/>
        <item x="240"/>
        <item x="289"/>
        <item x="478"/>
        <item x="317"/>
        <item x="87"/>
        <item x="134"/>
        <item x="213"/>
        <item x="101"/>
        <item x="114"/>
        <item x="157"/>
        <item x="219"/>
        <item x="194"/>
        <item x="431"/>
        <item x="44"/>
        <item x="187"/>
        <item x="160"/>
        <item x="50"/>
        <item x="385"/>
        <item x="77"/>
        <item x="185"/>
        <item x="352"/>
        <item x="480"/>
        <item x="301"/>
        <item x="5"/>
        <item x="299"/>
        <item x="211"/>
        <item x="127"/>
        <item x="362"/>
        <item x="89"/>
        <item x="256"/>
        <item x="269"/>
        <item x="113"/>
        <item x="209"/>
        <item x="412"/>
        <item x="99"/>
        <item x="321"/>
        <item x="314"/>
        <item x="47"/>
        <item x="151"/>
        <item x="205"/>
        <item x="179"/>
        <item x="323"/>
        <item x="123"/>
        <item x="426"/>
        <item x="9"/>
        <item x="230"/>
        <item x="483"/>
        <item x="286"/>
        <item x="361"/>
        <item x="408"/>
        <item x="461"/>
        <item x="92"/>
        <item x="84"/>
        <item x="58"/>
        <item x="199"/>
        <item x="440"/>
        <item x="438"/>
        <item x="73"/>
        <item x="93"/>
        <item x="35"/>
        <item x="351"/>
        <item x="296"/>
        <item x="83"/>
        <item x="142"/>
        <item x="364"/>
        <item x="68"/>
        <item x="365"/>
        <item x="222"/>
        <item x="169"/>
        <item x="303"/>
        <item x="154"/>
        <item x="3"/>
        <item x="265"/>
        <item x="481"/>
        <item x="357"/>
        <item x="109"/>
        <item x="206"/>
        <item x="135"/>
        <item x="367"/>
        <item x="297"/>
        <item x="283"/>
        <item x="4"/>
        <item x="444"/>
        <item x="315"/>
        <item x="419"/>
        <item x="393"/>
        <item x="30"/>
        <item x="377"/>
        <item x="309"/>
        <item x="369"/>
        <item x="372"/>
        <item x="150"/>
        <item x="168"/>
        <item x="217"/>
        <item x="300"/>
        <item x="51"/>
        <item x="63"/>
        <item x="56"/>
        <item x="304"/>
        <item x="138"/>
        <item x="176"/>
        <item x="288"/>
        <item x="59"/>
        <item x="162"/>
        <item x="85"/>
        <item x="201"/>
        <item x="342"/>
        <item x="140"/>
        <item x="161"/>
        <item x="80"/>
        <item x="70"/>
        <item x="341"/>
        <item x="427"/>
        <item x="167"/>
        <item x="302"/>
        <item x="380"/>
        <item x="220"/>
        <item x="17"/>
        <item x="129"/>
        <item x="198"/>
        <item x="221"/>
        <item x="24"/>
        <item x="324"/>
        <item x="326"/>
        <item x="236"/>
        <item x="270"/>
        <item x="406"/>
        <item x="106"/>
        <item x="208"/>
        <item x="144"/>
        <item x="88"/>
        <item x="312"/>
        <item x="319"/>
        <item x="174"/>
        <item x="349"/>
        <item x="190"/>
        <item x="184"/>
        <item x="107"/>
        <item x="31"/>
        <item x="82"/>
        <item x="335"/>
        <item x="295"/>
        <item x="366"/>
        <item x="48"/>
        <item x="424"/>
        <item x="476"/>
        <item x="413"/>
        <item x="305"/>
        <item x="52"/>
        <item x="196"/>
        <item x="103"/>
        <item x="396"/>
        <item x="180"/>
        <item x="333"/>
        <item x="139"/>
        <item x="214"/>
        <item x="11"/>
        <item x="371"/>
        <item x="124"/>
        <item x="268"/>
        <item x="33"/>
        <item x="423"/>
        <item x="332"/>
        <item x="27"/>
        <item x="243"/>
        <item x="225"/>
        <item x="98"/>
        <item x="200"/>
        <item x="384"/>
        <item x="432"/>
        <item x="232"/>
        <item x="145"/>
        <item x="247"/>
        <item x="0"/>
        <item x="172"/>
        <item x="132"/>
        <item x="76"/>
        <item x="360"/>
        <item x="234"/>
        <item x="391"/>
        <item x="340"/>
        <item x="443"/>
        <item x="173"/>
        <item x="429"/>
        <item x="417"/>
        <item x="130"/>
        <item x="255"/>
        <item x="441"/>
        <item x="420"/>
        <item x="311"/>
        <item x="370"/>
        <item x="399"/>
        <item x="143"/>
        <item x="25"/>
        <item x="422"/>
        <item x="186"/>
        <item x="192"/>
        <item x="244"/>
        <item x="398"/>
        <item x="149"/>
        <item x="66"/>
        <item x="415"/>
        <item x="313"/>
        <item x="216"/>
        <item x="49"/>
        <item x="292"/>
        <item x="182"/>
        <item x="388"/>
        <item x="358"/>
        <item x="39"/>
        <item x="81"/>
        <item x="439"/>
        <item x="79"/>
        <item x="325"/>
        <item x="471"/>
        <item x="210"/>
        <item x="339"/>
        <item x="376"/>
        <item x="434"/>
        <item x="227"/>
        <item x="259"/>
        <item x="355"/>
        <item x="448"/>
        <item x="10"/>
        <item x="467"/>
        <item x="175"/>
        <item x="294"/>
        <item x="482"/>
        <item x="233"/>
        <item x="414"/>
        <item x="121"/>
        <item x="148"/>
        <item x="64"/>
        <item x="28"/>
        <item x="460"/>
        <item x="344"/>
        <item t="default"/>
      </items>
    </pivotField>
    <pivotField showAll="0"/>
  </pivotFields>
  <rowFields count="1">
    <field x="4"/>
  </rowFields>
  <rowItems count="10">
    <i>
      <x v="242"/>
    </i>
    <i>
      <x v="406"/>
    </i>
    <i>
      <x v="204"/>
    </i>
    <i>
      <x v="53"/>
    </i>
    <i>
      <x v="30"/>
    </i>
    <i>
      <x v="2"/>
    </i>
    <i>
      <x v="99"/>
    </i>
    <i>
      <x v="10"/>
    </i>
    <i>
      <x v="394"/>
    </i>
    <i>
      <x v="219"/>
    </i>
  </rowItems>
  <colItems count="1">
    <i/>
  </colItems>
  <dataFields count="1">
    <dataField name="Average of ROI%" fld="14" subtotal="average" baseField="4" baseItem="365" numFmtId="164"/>
  </dataFields>
  <formats count="2">
    <format dxfId="5">
      <pivotArea outline="0" collapsedLevelsAreSubtotals="1" fieldPosition="0"/>
    </format>
    <format dxfId="4">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filters count="1">
    <filter fld="4"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CABD43A-E116-4DD3-9D3F-AC4482B6BED9}" name="TOP 10 Revenue"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15:B25" firstHeaderRow="1" firstDataRow="1" firstDataCol="1"/>
  <pivotFields count="16">
    <pivotField axis="axisRow" showAll="0" measureFilter="1" sortType="ascending">
      <items count="50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t="default"/>
      </items>
      <autoSortScope>
        <pivotArea dataOnly="0" outline="0" fieldPosition="0">
          <references count="1">
            <reference field="4294967294" count="1" selected="0">
              <x v="0"/>
            </reference>
          </references>
        </pivotArea>
      </autoSortScope>
    </pivotField>
    <pivotField numFmtId="14" showAll="0"/>
    <pivotField showAll="0">
      <items count="6">
        <item x="2"/>
        <item x="1"/>
        <item x="3"/>
        <item x="4"/>
        <item x="0"/>
        <item t="default"/>
      </items>
    </pivotField>
    <pivotField showAll="0">
      <items count="18">
        <item x="1"/>
        <item x="6"/>
        <item x="15"/>
        <item x="3"/>
        <item x="2"/>
        <item x="5"/>
        <item x="16"/>
        <item x="4"/>
        <item x="13"/>
        <item x="11"/>
        <item x="7"/>
        <item x="10"/>
        <item x="12"/>
        <item x="14"/>
        <item x="9"/>
        <item x="8"/>
        <item x="0"/>
        <item t="default"/>
      </items>
    </pivotField>
    <pivotField showAll="0">
      <items count="415">
        <item x="289"/>
        <item x="251"/>
        <item x="410"/>
        <item x="403"/>
        <item x="368"/>
        <item x="281"/>
        <item x="357"/>
        <item x="168"/>
        <item x="126"/>
        <item x="98"/>
        <item x="396"/>
        <item x="222"/>
        <item x="115"/>
        <item x="180"/>
        <item x="176"/>
        <item x="157"/>
        <item x="187"/>
        <item x="318"/>
        <item x="218"/>
        <item x="166"/>
        <item x="52"/>
        <item x="195"/>
        <item x="358"/>
        <item x="129"/>
        <item x="243"/>
        <item x="53"/>
        <item x="293"/>
        <item x="208"/>
        <item x="12"/>
        <item x="305"/>
        <item x="215"/>
        <item x="68"/>
        <item x="177"/>
        <item x="25"/>
        <item x="259"/>
        <item x="170"/>
        <item x="2"/>
        <item x="252"/>
        <item x="183"/>
        <item x="313"/>
        <item x="29"/>
        <item x="278"/>
        <item x="413"/>
        <item x="37"/>
        <item x="35"/>
        <item x="367"/>
        <item x="349"/>
        <item x="258"/>
        <item x="178"/>
        <item x="366"/>
        <item x="297"/>
        <item x="255"/>
        <item x="153"/>
        <item x="61"/>
        <item x="331"/>
        <item x="5"/>
        <item x="13"/>
        <item x="364"/>
        <item x="409"/>
        <item x="232"/>
        <item x="97"/>
        <item x="20"/>
        <item x="47"/>
        <item x="253"/>
        <item x="247"/>
        <item x="320"/>
        <item x="152"/>
        <item x="83"/>
        <item x="217"/>
        <item x="226"/>
        <item x="78"/>
        <item x="380"/>
        <item x="301"/>
        <item x="96"/>
        <item x="145"/>
        <item x="142"/>
        <item x="268"/>
        <item x="265"/>
        <item x="92"/>
        <item x="287"/>
        <item x="23"/>
        <item x="65"/>
        <item x="111"/>
        <item x="59"/>
        <item x="377"/>
        <item x="400"/>
        <item x="242"/>
        <item x="71"/>
        <item x="201"/>
        <item x="0"/>
        <item x="406"/>
        <item x="62"/>
        <item x="87"/>
        <item x="274"/>
        <item x="204"/>
        <item x="89"/>
        <item x="93"/>
        <item x="80"/>
        <item x="327"/>
        <item x="167"/>
        <item x="117"/>
        <item x="128"/>
        <item x="332"/>
        <item x="212"/>
        <item x="191"/>
        <item x="18"/>
        <item x="348"/>
        <item x="154"/>
        <item x="387"/>
        <item x="245"/>
        <item x="395"/>
        <item x="334"/>
        <item x="125"/>
        <item x="131"/>
        <item x="234"/>
        <item x="241"/>
        <item x="233"/>
        <item x="194"/>
        <item x="120"/>
        <item x="182"/>
        <item x="352"/>
        <item x="90"/>
        <item x="57"/>
        <item x="324"/>
        <item x="95"/>
        <item x="91"/>
        <item x="296"/>
        <item x="397"/>
        <item x="321"/>
        <item x="329"/>
        <item x="220"/>
        <item x="376"/>
        <item x="225"/>
        <item x="175"/>
        <item x="227"/>
        <item x="109"/>
        <item x="378"/>
        <item x="275"/>
        <item x="84"/>
        <item x="319"/>
        <item x="44"/>
        <item x="264"/>
        <item x="116"/>
        <item x="355"/>
        <item x="192"/>
        <item x="104"/>
        <item x="359"/>
        <item x="85"/>
        <item x="99"/>
        <item x="147"/>
        <item x="130"/>
        <item x="341"/>
        <item x="174"/>
        <item x="228"/>
        <item x="229"/>
        <item x="40"/>
        <item x="401"/>
        <item x="302"/>
        <item x="216"/>
        <item x="239"/>
        <item x="69"/>
        <item x="236"/>
        <item x="337"/>
        <item x="342"/>
        <item x="114"/>
        <item x="199"/>
        <item x="86"/>
        <item x="284"/>
        <item x="11"/>
        <item x="214"/>
        <item x="354"/>
        <item x="373"/>
        <item x="365"/>
        <item x="169"/>
        <item x="356"/>
        <item x="362"/>
        <item x="386"/>
        <item x="140"/>
        <item x="374"/>
        <item x="224"/>
        <item x="310"/>
        <item x="205"/>
        <item x="149"/>
        <item x="298"/>
        <item x="402"/>
        <item x="184"/>
        <item x="105"/>
        <item x="161"/>
        <item x="371"/>
        <item x="240"/>
        <item x="54"/>
        <item x="172"/>
        <item x="188"/>
        <item x="314"/>
        <item x="213"/>
        <item x="121"/>
        <item x="311"/>
        <item x="49"/>
        <item x="30"/>
        <item x="391"/>
        <item x="384"/>
        <item x="282"/>
        <item x="288"/>
        <item x="8"/>
        <item x="26"/>
        <item x="51"/>
        <item x="107"/>
        <item x="60"/>
        <item x="22"/>
        <item x="31"/>
        <item x="150"/>
        <item x="244"/>
        <item x="122"/>
        <item x="343"/>
        <item x="280"/>
        <item x="291"/>
        <item x="231"/>
        <item x="250"/>
        <item x="207"/>
        <item x="309"/>
        <item x="106"/>
        <item x="63"/>
        <item x="151"/>
        <item x="323"/>
        <item x="210"/>
        <item x="100"/>
        <item x="411"/>
        <item x="15"/>
        <item x="389"/>
        <item x="146"/>
        <item x="249"/>
        <item x="388"/>
        <item x="330"/>
        <item x="196"/>
        <item x="303"/>
        <item x="256"/>
        <item x="269"/>
        <item x="295"/>
        <item x="285"/>
        <item x="141"/>
        <item x="382"/>
        <item x="254"/>
        <item x="390"/>
        <item x="206"/>
        <item x="173"/>
        <item x="165"/>
        <item x="17"/>
        <item x="299"/>
        <item x="32"/>
        <item x="133"/>
        <item x="408"/>
        <item x="286"/>
        <item x="300"/>
        <item x="261"/>
        <item x="112"/>
        <item x="392"/>
        <item x="79"/>
        <item x="162"/>
        <item x="73"/>
        <item x="346"/>
        <item x="158"/>
        <item x="379"/>
        <item x="1"/>
        <item x="156"/>
        <item x="159"/>
        <item x="263"/>
        <item x="43"/>
        <item x="7"/>
        <item x="304"/>
        <item x="9"/>
        <item x="134"/>
        <item x="209"/>
        <item x="322"/>
        <item x="325"/>
        <item x="370"/>
        <item x="81"/>
        <item x="58"/>
        <item x="328"/>
        <item x="198"/>
        <item x="347"/>
        <item x="94"/>
        <item x="74"/>
        <item x="24"/>
        <item x="103"/>
        <item x="4"/>
        <item x="353"/>
        <item x="257"/>
        <item x="277"/>
        <item x="10"/>
        <item x="185"/>
        <item x="308"/>
        <item x="113"/>
        <item x="148"/>
        <item x="394"/>
        <item x="339"/>
        <item x="363"/>
        <item x="230"/>
        <item x="155"/>
        <item x="36"/>
        <item x="88"/>
        <item x="317"/>
        <item x="66"/>
        <item x="345"/>
        <item x="351"/>
        <item x="412"/>
        <item x="248"/>
        <item x="28"/>
        <item x="3"/>
        <item x="312"/>
        <item x="315"/>
        <item x="82"/>
        <item x="137"/>
        <item x="361"/>
        <item x="189"/>
        <item x="124"/>
        <item x="56"/>
        <item x="333"/>
        <item x="171"/>
        <item x="266"/>
        <item x="38"/>
        <item x="46"/>
        <item x="235"/>
        <item x="19"/>
        <item x="119"/>
        <item x="193"/>
        <item x="393"/>
        <item x="372"/>
        <item x="385"/>
        <item x="237"/>
        <item x="101"/>
        <item x="344"/>
        <item x="139"/>
        <item x="138"/>
        <item x="39"/>
        <item x="108"/>
        <item x="267"/>
        <item x="369"/>
        <item x="67"/>
        <item x="203"/>
        <item x="338"/>
        <item x="132"/>
        <item x="34"/>
        <item x="202"/>
        <item x="276"/>
        <item x="72"/>
        <item x="42"/>
        <item x="77"/>
        <item x="14"/>
        <item x="336"/>
        <item x="398"/>
        <item x="197"/>
        <item x="70"/>
        <item x="260"/>
        <item x="136"/>
        <item x="279"/>
        <item x="326"/>
        <item x="200"/>
        <item x="405"/>
        <item x="221"/>
        <item x="307"/>
        <item x="290"/>
        <item x="350"/>
        <item x="340"/>
        <item x="102"/>
        <item x="238"/>
        <item x="135"/>
        <item x="143"/>
        <item x="262"/>
        <item x="48"/>
        <item x="211"/>
        <item x="272"/>
        <item x="186"/>
        <item x="110"/>
        <item x="219"/>
        <item x="407"/>
        <item x="181"/>
        <item x="271"/>
        <item x="399"/>
        <item x="223"/>
        <item x="41"/>
        <item x="127"/>
        <item x="75"/>
        <item x="246"/>
        <item x="144"/>
        <item x="16"/>
        <item x="55"/>
        <item x="316"/>
        <item x="283"/>
        <item x="375"/>
        <item x="164"/>
        <item x="270"/>
        <item x="64"/>
        <item x="123"/>
        <item x="292"/>
        <item x="381"/>
        <item x="160"/>
        <item x="273"/>
        <item x="118"/>
        <item x="76"/>
        <item x="163"/>
        <item x="383"/>
        <item x="21"/>
        <item x="50"/>
        <item x="190"/>
        <item x="179"/>
        <item x="27"/>
        <item x="294"/>
        <item x="360"/>
        <item x="335"/>
        <item x="45"/>
        <item x="6"/>
        <item x="404"/>
        <item x="33"/>
        <item x="306"/>
        <item t="default"/>
      </items>
    </pivotField>
    <pivotField showAll="0"/>
    <pivotField showAll="0"/>
    <pivotField showAll="0"/>
    <pivotField showAll="0"/>
    <pivotField showAll="0"/>
    <pivotField showAll="0"/>
    <pivotField showAll="0"/>
    <pivotField dataField="1" showAll="0"/>
    <pivotField showAll="0"/>
    <pivotField showAll="0"/>
    <pivotField showAll="0"/>
  </pivotFields>
  <rowFields count="1">
    <field x="0"/>
  </rowFields>
  <rowItems count="10">
    <i>
      <x v="503"/>
    </i>
    <i>
      <x v="384"/>
    </i>
    <i>
      <x v="336"/>
    </i>
    <i>
      <x v="79"/>
    </i>
    <i>
      <x v="108"/>
    </i>
    <i>
      <x v="447"/>
    </i>
    <i>
      <x v="35"/>
    </i>
    <i>
      <x v="148"/>
    </i>
    <i>
      <x v="380"/>
    </i>
    <i>
      <x v="82"/>
    </i>
  </rowItems>
  <colItems count="1">
    <i/>
  </colItems>
  <dataFields count="1">
    <dataField name="Sum of Revenue" fld="12" baseField="0" baseItem="0" numFmtId="167"/>
  </dataFields>
  <formats count="1">
    <format dxfId="6">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1446282-7540-4330-8501-3173CFA73874}"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E17:F22" firstHeaderRow="1" firstDataRow="1" firstDataCol="1"/>
  <pivotFields count="16">
    <pivotField showAll="0"/>
    <pivotField numFmtId="14" showAll="0"/>
    <pivotField showAll="0"/>
    <pivotField axis="axisRow" showAll="0" measureFilter="1" sortType="descending">
      <items count="18">
        <item x="1"/>
        <item x="6"/>
        <item x="15"/>
        <item x="3"/>
        <item x="2"/>
        <item x="5"/>
        <item x="16"/>
        <item x="4"/>
        <item x="13"/>
        <item x="11"/>
        <item x="7"/>
        <item x="10"/>
        <item x="12"/>
        <item x="14"/>
        <item x="9"/>
        <item x="8"/>
        <item x="0"/>
        <item t="default"/>
      </items>
      <autoSortScope>
        <pivotArea dataOnly="0" outline="0" fieldPosition="0">
          <references count="1">
            <reference field="4294967294" count="1" selected="0">
              <x v="0"/>
            </reference>
          </references>
        </pivotArea>
      </autoSortScope>
    </pivotField>
    <pivotField showAll="0">
      <items count="415">
        <item x="289"/>
        <item h="1" x="251"/>
        <item h="1" x="410"/>
        <item h="1" x="403"/>
        <item h="1" x="368"/>
        <item h="1" x="281"/>
        <item h="1" x="357"/>
        <item h="1" x="168"/>
        <item h="1" x="126"/>
        <item h="1" x="98"/>
        <item h="1" x="396"/>
        <item h="1" x="222"/>
        <item h="1" x="115"/>
        <item h="1" x="180"/>
        <item h="1" x="176"/>
        <item h="1" x="157"/>
        <item h="1" x="187"/>
        <item h="1" x="318"/>
        <item h="1" x="218"/>
        <item h="1" x="166"/>
        <item h="1" x="52"/>
        <item h="1" x="195"/>
        <item h="1" x="358"/>
        <item h="1" x="129"/>
        <item h="1" x="243"/>
        <item h="1" x="53"/>
        <item h="1" x="293"/>
        <item h="1" x="208"/>
        <item h="1" x="12"/>
        <item h="1" x="305"/>
        <item h="1" x="215"/>
        <item h="1" x="68"/>
        <item h="1" x="177"/>
        <item h="1" x="25"/>
        <item h="1" x="259"/>
        <item h="1" x="170"/>
        <item h="1" x="2"/>
        <item h="1" x="252"/>
        <item h="1" x="183"/>
        <item h="1" x="313"/>
        <item h="1" x="29"/>
        <item h="1" x="278"/>
        <item h="1" x="413"/>
        <item h="1" x="37"/>
        <item h="1" x="35"/>
        <item h="1" x="367"/>
        <item h="1" x="349"/>
        <item h="1" x="258"/>
        <item h="1" x="178"/>
        <item h="1" x="366"/>
        <item h="1" x="297"/>
        <item h="1" x="255"/>
        <item h="1" x="153"/>
        <item h="1" x="61"/>
        <item h="1" x="331"/>
        <item h="1" x="5"/>
        <item h="1" x="13"/>
        <item h="1" x="364"/>
        <item h="1" x="409"/>
        <item h="1" x="232"/>
        <item h="1" x="97"/>
        <item h="1" x="20"/>
        <item h="1" x="47"/>
        <item h="1" x="253"/>
        <item h="1" x="247"/>
        <item h="1" x="320"/>
        <item h="1" x="152"/>
        <item h="1" x="83"/>
        <item h="1" x="217"/>
        <item h="1" x="226"/>
        <item h="1" x="78"/>
        <item h="1" x="380"/>
        <item h="1" x="301"/>
        <item h="1" x="96"/>
        <item h="1" x="145"/>
        <item h="1" x="142"/>
        <item h="1" x="268"/>
        <item h="1" x="265"/>
        <item h="1" x="92"/>
        <item h="1" x="287"/>
        <item h="1" x="23"/>
        <item h="1" x="65"/>
        <item h="1" x="111"/>
        <item h="1" x="59"/>
        <item h="1" x="377"/>
        <item h="1" x="400"/>
        <item h="1" x="242"/>
        <item h="1" x="71"/>
        <item h="1" x="201"/>
        <item h="1" x="0"/>
        <item h="1" x="406"/>
        <item h="1" x="62"/>
        <item h="1" x="87"/>
        <item h="1" x="274"/>
        <item h="1" x="204"/>
        <item h="1" x="89"/>
        <item h="1" x="93"/>
        <item h="1" x="80"/>
        <item h="1" x="327"/>
        <item h="1" x="167"/>
        <item h="1" x="117"/>
        <item h="1" x="128"/>
        <item h="1" x="332"/>
        <item h="1" x="212"/>
        <item h="1" x="191"/>
        <item h="1" x="18"/>
        <item h="1" x="348"/>
        <item h="1" x="154"/>
        <item h="1" x="387"/>
        <item h="1" x="245"/>
        <item h="1" x="395"/>
        <item h="1" x="334"/>
        <item h="1" x="125"/>
        <item h="1" x="131"/>
        <item h="1" x="234"/>
        <item h="1" x="241"/>
        <item h="1" x="233"/>
        <item h="1" x="194"/>
        <item h="1" x="120"/>
        <item h="1" x="182"/>
        <item h="1" x="352"/>
        <item h="1" x="90"/>
        <item h="1" x="57"/>
        <item h="1" x="324"/>
        <item h="1" x="95"/>
        <item h="1" x="91"/>
        <item h="1" x="296"/>
        <item h="1" x="397"/>
        <item h="1" x="321"/>
        <item h="1" x="329"/>
        <item h="1" x="220"/>
        <item h="1" x="376"/>
        <item h="1" x="225"/>
        <item h="1" x="175"/>
        <item h="1" x="227"/>
        <item h="1" x="109"/>
        <item h="1" x="378"/>
        <item h="1" x="275"/>
        <item h="1" x="84"/>
        <item h="1" x="319"/>
        <item h="1" x="44"/>
        <item h="1" x="264"/>
        <item h="1" x="116"/>
        <item h="1" x="355"/>
        <item h="1" x="192"/>
        <item h="1" x="104"/>
        <item h="1" x="359"/>
        <item h="1" x="85"/>
        <item h="1" x="99"/>
        <item h="1" x="147"/>
        <item h="1" x="130"/>
        <item h="1" x="341"/>
        <item h="1" x="174"/>
        <item h="1" x="228"/>
        <item h="1" x="229"/>
        <item h="1" x="40"/>
        <item h="1" x="401"/>
        <item h="1" x="302"/>
        <item h="1" x="216"/>
        <item h="1" x="239"/>
        <item h="1" x="69"/>
        <item h="1" x="236"/>
        <item h="1" x="337"/>
        <item h="1" x="342"/>
        <item h="1" x="114"/>
        <item h="1" x="199"/>
        <item h="1" x="86"/>
        <item h="1" x="284"/>
        <item h="1" x="11"/>
        <item h="1" x="214"/>
        <item h="1" x="354"/>
        <item h="1" x="373"/>
        <item h="1" x="365"/>
        <item h="1" x="169"/>
        <item h="1" x="356"/>
        <item h="1" x="362"/>
        <item h="1" x="386"/>
        <item h="1" x="140"/>
        <item h="1" x="374"/>
        <item h="1" x="224"/>
        <item h="1" x="310"/>
        <item h="1" x="205"/>
        <item h="1" x="149"/>
        <item h="1" x="298"/>
        <item h="1" x="402"/>
        <item h="1" x="184"/>
        <item h="1" x="105"/>
        <item h="1" x="161"/>
        <item h="1" x="371"/>
        <item h="1" x="240"/>
        <item h="1" x="54"/>
        <item h="1" x="172"/>
        <item h="1" x="188"/>
        <item h="1" x="314"/>
        <item h="1" x="213"/>
        <item h="1" x="121"/>
        <item h="1" x="311"/>
        <item h="1" x="49"/>
        <item h="1" x="30"/>
        <item h="1" x="391"/>
        <item h="1" x="384"/>
        <item h="1" x="282"/>
        <item h="1" x="288"/>
        <item h="1" x="8"/>
        <item h="1" x="26"/>
        <item h="1" x="51"/>
        <item h="1" x="107"/>
        <item h="1" x="60"/>
        <item h="1" x="22"/>
        <item h="1" x="31"/>
        <item h="1" x="150"/>
        <item h="1" x="244"/>
        <item h="1" x="122"/>
        <item h="1" x="343"/>
        <item h="1" x="280"/>
        <item h="1" x="291"/>
        <item h="1" x="231"/>
        <item h="1" x="250"/>
        <item h="1" x="207"/>
        <item h="1" x="309"/>
        <item h="1" x="106"/>
        <item h="1" x="63"/>
        <item h="1" x="151"/>
        <item h="1" x="323"/>
        <item h="1" x="210"/>
        <item h="1" x="100"/>
        <item h="1" x="411"/>
        <item h="1" x="15"/>
        <item h="1" x="389"/>
        <item h="1" x="146"/>
        <item h="1" x="249"/>
        <item h="1" x="388"/>
        <item h="1" x="330"/>
        <item h="1" x="196"/>
        <item h="1" x="303"/>
        <item h="1" x="256"/>
        <item h="1" x="269"/>
        <item h="1" x="295"/>
        <item h="1" x="285"/>
        <item h="1" x="141"/>
        <item h="1" x="382"/>
        <item h="1" x="254"/>
        <item h="1" x="390"/>
        <item h="1" x="206"/>
        <item h="1" x="173"/>
        <item h="1" x="165"/>
        <item h="1" x="17"/>
        <item h="1" x="299"/>
        <item h="1" x="32"/>
        <item h="1" x="133"/>
        <item h="1" x="408"/>
        <item h="1" x="286"/>
        <item h="1" x="300"/>
        <item h="1" x="261"/>
        <item h="1" x="112"/>
        <item h="1" x="392"/>
        <item h="1" x="79"/>
        <item h="1" x="162"/>
        <item h="1" x="73"/>
        <item h="1" x="346"/>
        <item h="1" x="158"/>
        <item h="1" x="379"/>
        <item h="1" x="1"/>
        <item h="1" x="156"/>
        <item h="1" x="159"/>
        <item h="1" x="263"/>
        <item h="1" x="43"/>
        <item h="1" x="7"/>
        <item h="1" x="304"/>
        <item h="1" x="9"/>
        <item h="1" x="134"/>
        <item h="1" x="209"/>
        <item h="1" x="322"/>
        <item h="1" x="325"/>
        <item h="1" x="370"/>
        <item h="1" x="81"/>
        <item h="1" x="58"/>
        <item h="1" x="328"/>
        <item h="1" x="198"/>
        <item h="1" x="347"/>
        <item h="1" x="94"/>
        <item h="1" x="74"/>
        <item h="1" x="24"/>
        <item h="1" x="103"/>
        <item h="1" x="4"/>
        <item h="1" x="353"/>
        <item h="1" x="257"/>
        <item h="1" x="277"/>
        <item h="1" x="10"/>
        <item h="1" x="185"/>
        <item h="1" x="308"/>
        <item h="1" x="113"/>
        <item h="1" x="148"/>
        <item h="1" x="394"/>
        <item h="1" x="339"/>
        <item h="1" x="363"/>
        <item h="1" x="230"/>
        <item h="1" x="155"/>
        <item h="1" x="36"/>
        <item h="1" x="88"/>
        <item h="1" x="317"/>
        <item h="1" x="66"/>
        <item h="1" x="345"/>
        <item h="1" x="351"/>
        <item h="1" x="412"/>
        <item h="1" x="248"/>
        <item h="1" x="28"/>
        <item h="1" x="3"/>
        <item h="1" x="312"/>
        <item h="1" x="315"/>
        <item h="1" x="82"/>
        <item h="1" x="137"/>
        <item h="1" x="361"/>
        <item h="1" x="189"/>
        <item h="1" x="124"/>
        <item h="1" x="56"/>
        <item h="1" x="333"/>
        <item h="1" x="171"/>
        <item h="1" x="266"/>
        <item h="1" x="38"/>
        <item h="1" x="46"/>
        <item h="1" x="235"/>
        <item h="1" x="19"/>
        <item h="1" x="119"/>
        <item h="1" x="193"/>
        <item h="1" x="393"/>
        <item h="1" x="372"/>
        <item h="1" x="385"/>
        <item h="1" x="237"/>
        <item h="1" x="101"/>
        <item h="1" x="344"/>
        <item h="1" x="139"/>
        <item h="1" x="138"/>
        <item h="1" x="39"/>
        <item h="1" x="108"/>
        <item h="1" x="267"/>
        <item h="1" x="369"/>
        <item h="1" x="67"/>
        <item h="1" x="203"/>
        <item h="1" x="338"/>
        <item h="1" x="132"/>
        <item h="1" x="34"/>
        <item h="1" x="202"/>
        <item h="1" x="276"/>
        <item h="1" x="72"/>
        <item h="1" x="42"/>
        <item h="1" x="77"/>
        <item h="1" x="14"/>
        <item h="1" x="336"/>
        <item h="1" x="398"/>
        <item h="1" x="197"/>
        <item h="1" x="70"/>
        <item h="1" x="260"/>
        <item h="1" x="136"/>
        <item h="1" x="279"/>
        <item h="1" x="326"/>
        <item h="1" x="200"/>
        <item h="1" x="405"/>
        <item h="1" x="221"/>
        <item h="1" x="307"/>
        <item h="1" x="290"/>
        <item h="1" x="350"/>
        <item h="1" x="340"/>
        <item h="1" x="102"/>
        <item h="1" x="238"/>
        <item h="1" x="135"/>
        <item h="1" x="143"/>
        <item h="1" x="262"/>
        <item h="1" x="48"/>
        <item h="1" x="211"/>
        <item h="1" x="272"/>
        <item h="1" x="186"/>
        <item h="1" x="110"/>
        <item h="1" x="219"/>
        <item h="1" x="407"/>
        <item h="1" x="181"/>
        <item h="1" x="271"/>
        <item h="1" x="399"/>
        <item h="1" x="223"/>
        <item h="1" x="41"/>
        <item h="1" x="127"/>
        <item h="1" x="75"/>
        <item h="1" x="246"/>
        <item h="1" x="144"/>
        <item h="1" x="16"/>
        <item h="1" x="55"/>
        <item h="1" x="316"/>
        <item h="1" x="283"/>
        <item h="1" x="375"/>
        <item h="1" x="164"/>
        <item h="1" x="270"/>
        <item h="1" x="64"/>
        <item h="1" x="123"/>
        <item h="1" x="292"/>
        <item h="1" x="381"/>
        <item h="1" x="160"/>
        <item h="1" x="273"/>
        <item h="1" x="118"/>
        <item h="1" x="76"/>
        <item h="1" x="163"/>
        <item h="1" x="383"/>
        <item h="1" x="21"/>
        <item h="1" x="50"/>
        <item h="1" x="190"/>
        <item h="1" x="179"/>
        <item h="1" x="27"/>
        <item h="1" x="294"/>
        <item h="1" x="360"/>
        <item h="1" x="335"/>
        <item h="1" x="45"/>
        <item h="1" x="6"/>
        <item h="1" x="404"/>
        <item h="1" x="33"/>
        <item h="1" x="306"/>
        <item t="default"/>
      </items>
    </pivotField>
    <pivotField showAll="0"/>
    <pivotField showAll="0"/>
    <pivotField showAll="0"/>
    <pivotField showAll="0"/>
    <pivotField showAll="0"/>
    <pivotField showAll="0"/>
    <pivotField showAll="0"/>
    <pivotField showAll="0"/>
    <pivotField dataField="1" showAll="0"/>
    <pivotField showAll="0"/>
    <pivotField showAll="0"/>
  </pivotFields>
  <rowFields count="1">
    <field x="3"/>
  </rowFields>
  <rowItems count="5">
    <i>
      <x/>
    </i>
    <i>
      <x v="4"/>
    </i>
    <i>
      <x v="15"/>
    </i>
    <i>
      <x v="7"/>
    </i>
    <i>
      <x v="1"/>
    </i>
  </rowItems>
  <colItems count="1">
    <i/>
  </colItems>
  <dataFields count="1">
    <dataField name="Sum of Profit" fld="13" baseField="0" baseItem="0" numFmtId="167"/>
  </dataFields>
  <formats count="1">
    <format dxfId="7">
      <pivotArea outline="0" collapsedLevelsAreSubtotals="1" fieldPosition="0"/>
    </format>
  </formats>
  <chartFormats count="6">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3" count="1" selected="0">
            <x v="0"/>
          </reference>
        </references>
      </pivotArea>
    </chartFormat>
    <chartFormat chart="3" format="9">
      <pivotArea type="data" outline="0" fieldPosition="0">
        <references count="2">
          <reference field="4294967294" count="1" selected="0">
            <x v="0"/>
          </reference>
          <reference field="3" count="1" selected="0">
            <x v="4"/>
          </reference>
        </references>
      </pivotArea>
    </chartFormat>
    <chartFormat chart="3" format="10">
      <pivotArea type="data" outline="0" fieldPosition="0">
        <references count="2">
          <reference field="4294967294" count="1" selected="0">
            <x v="0"/>
          </reference>
          <reference field="3" count="1" selected="0">
            <x v="15"/>
          </reference>
        </references>
      </pivotArea>
    </chartFormat>
    <chartFormat chart="3" format="11">
      <pivotArea type="data" outline="0" fieldPosition="0">
        <references count="2">
          <reference field="4294967294" count="1" selected="0">
            <x v="0"/>
          </reference>
          <reference field="3" count="1" selected="0">
            <x v="7"/>
          </reference>
        </references>
      </pivotArea>
    </chartFormat>
    <chartFormat chart="3" format="12">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EBFFB78-B4FE-42C7-B84B-C4E815C72DD0}" name="RO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A13" firstHeaderRow="1" firstDataRow="1" firstDataCol="0"/>
  <pivotFields count="16">
    <pivotField showAll="0">
      <items count="50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t="default"/>
      </items>
    </pivotField>
    <pivotField numFmtId="14" showAll="0"/>
    <pivotField showAll="0">
      <items count="6">
        <item x="2"/>
        <item x="1"/>
        <item x="3"/>
        <item x="4"/>
        <item x="0"/>
        <item t="default"/>
      </items>
    </pivotField>
    <pivotField showAll="0">
      <items count="18">
        <item x="1"/>
        <item x="6"/>
        <item x="15"/>
        <item x="3"/>
        <item x="2"/>
        <item x="5"/>
        <item x="16"/>
        <item x="4"/>
        <item x="13"/>
        <item x="11"/>
        <item x="7"/>
        <item x="10"/>
        <item x="12"/>
        <item x="14"/>
        <item x="9"/>
        <item x="8"/>
        <item x="0"/>
        <item t="default"/>
      </items>
    </pivotField>
    <pivotField showAll="0">
      <items count="415">
        <item x="289"/>
        <item x="251"/>
        <item x="410"/>
        <item x="403"/>
        <item x="368"/>
        <item x="281"/>
        <item x="357"/>
        <item x="168"/>
        <item x="126"/>
        <item x="98"/>
        <item x="396"/>
        <item x="222"/>
        <item x="115"/>
        <item x="180"/>
        <item x="176"/>
        <item x="157"/>
        <item x="187"/>
        <item x="318"/>
        <item x="218"/>
        <item x="166"/>
        <item x="52"/>
        <item x="195"/>
        <item x="358"/>
        <item x="129"/>
        <item x="243"/>
        <item x="53"/>
        <item x="293"/>
        <item x="208"/>
        <item x="12"/>
        <item x="305"/>
        <item x="215"/>
        <item x="68"/>
        <item x="177"/>
        <item x="25"/>
        <item x="259"/>
        <item x="170"/>
        <item x="2"/>
        <item x="252"/>
        <item x="183"/>
        <item x="313"/>
        <item x="29"/>
        <item x="278"/>
        <item x="413"/>
        <item x="37"/>
        <item x="35"/>
        <item x="367"/>
        <item x="349"/>
        <item x="258"/>
        <item x="178"/>
        <item x="366"/>
        <item x="297"/>
        <item x="255"/>
        <item x="153"/>
        <item x="61"/>
        <item x="331"/>
        <item x="5"/>
        <item x="13"/>
        <item x="364"/>
        <item x="409"/>
        <item x="232"/>
        <item x="97"/>
        <item x="20"/>
        <item x="47"/>
        <item x="253"/>
        <item x="247"/>
        <item x="320"/>
        <item x="152"/>
        <item x="83"/>
        <item x="217"/>
        <item x="226"/>
        <item x="78"/>
        <item x="380"/>
        <item x="301"/>
        <item x="96"/>
        <item x="145"/>
        <item x="142"/>
        <item x="268"/>
        <item x="265"/>
        <item x="92"/>
        <item x="287"/>
        <item x="23"/>
        <item x="65"/>
        <item x="111"/>
        <item x="59"/>
        <item x="377"/>
        <item x="400"/>
        <item x="242"/>
        <item x="71"/>
        <item x="201"/>
        <item x="0"/>
        <item x="406"/>
        <item x="62"/>
        <item x="87"/>
        <item x="274"/>
        <item x="204"/>
        <item x="89"/>
        <item x="93"/>
        <item x="80"/>
        <item x="327"/>
        <item x="167"/>
        <item x="117"/>
        <item x="128"/>
        <item x="332"/>
        <item x="212"/>
        <item x="191"/>
        <item x="18"/>
        <item x="348"/>
        <item x="154"/>
        <item x="387"/>
        <item x="245"/>
        <item x="395"/>
        <item x="334"/>
        <item x="125"/>
        <item x="131"/>
        <item x="234"/>
        <item x="241"/>
        <item x="233"/>
        <item x="194"/>
        <item x="120"/>
        <item x="182"/>
        <item x="352"/>
        <item x="90"/>
        <item x="57"/>
        <item x="324"/>
        <item x="95"/>
        <item x="91"/>
        <item x="296"/>
        <item x="397"/>
        <item x="321"/>
        <item x="329"/>
        <item x="220"/>
        <item x="376"/>
        <item x="225"/>
        <item x="175"/>
        <item x="227"/>
        <item x="109"/>
        <item x="378"/>
        <item x="275"/>
        <item x="84"/>
        <item x="319"/>
        <item x="44"/>
        <item x="264"/>
        <item x="116"/>
        <item x="355"/>
        <item x="192"/>
        <item x="104"/>
        <item x="359"/>
        <item x="85"/>
        <item x="99"/>
        <item x="147"/>
        <item x="130"/>
        <item x="341"/>
        <item x="174"/>
        <item x="228"/>
        <item x="229"/>
        <item x="40"/>
        <item x="401"/>
        <item x="302"/>
        <item x="216"/>
        <item x="239"/>
        <item x="69"/>
        <item x="236"/>
        <item x="337"/>
        <item x="342"/>
        <item x="114"/>
        <item x="199"/>
        <item x="86"/>
        <item x="284"/>
        <item x="11"/>
        <item x="214"/>
        <item x="354"/>
        <item x="373"/>
        <item x="365"/>
        <item x="169"/>
        <item x="356"/>
        <item x="362"/>
        <item x="386"/>
        <item x="140"/>
        <item x="374"/>
        <item x="224"/>
        <item x="310"/>
        <item x="205"/>
        <item x="149"/>
        <item x="298"/>
        <item x="402"/>
        <item x="184"/>
        <item x="105"/>
        <item x="161"/>
        <item x="371"/>
        <item x="240"/>
        <item x="54"/>
        <item x="172"/>
        <item x="188"/>
        <item x="314"/>
        <item x="213"/>
        <item x="121"/>
        <item x="311"/>
        <item x="49"/>
        <item x="30"/>
        <item x="391"/>
        <item x="384"/>
        <item x="282"/>
        <item x="288"/>
        <item x="8"/>
        <item x="26"/>
        <item x="51"/>
        <item x="107"/>
        <item x="60"/>
        <item x="22"/>
        <item x="31"/>
        <item x="150"/>
        <item x="244"/>
        <item x="122"/>
        <item x="343"/>
        <item x="280"/>
        <item x="291"/>
        <item x="231"/>
        <item x="250"/>
        <item x="207"/>
        <item x="309"/>
        <item x="106"/>
        <item x="63"/>
        <item x="151"/>
        <item x="323"/>
        <item x="210"/>
        <item x="100"/>
        <item x="411"/>
        <item x="15"/>
        <item x="389"/>
        <item x="146"/>
        <item x="249"/>
        <item x="388"/>
        <item x="330"/>
        <item x="196"/>
        <item x="303"/>
        <item x="256"/>
        <item x="269"/>
        <item x="295"/>
        <item x="285"/>
        <item x="141"/>
        <item x="382"/>
        <item x="254"/>
        <item x="390"/>
        <item x="206"/>
        <item x="173"/>
        <item x="165"/>
        <item x="17"/>
        <item x="299"/>
        <item x="32"/>
        <item x="133"/>
        <item x="408"/>
        <item x="286"/>
        <item x="300"/>
        <item x="261"/>
        <item x="112"/>
        <item x="392"/>
        <item x="79"/>
        <item x="162"/>
        <item x="73"/>
        <item x="346"/>
        <item x="158"/>
        <item x="379"/>
        <item x="1"/>
        <item x="156"/>
        <item x="159"/>
        <item x="263"/>
        <item x="43"/>
        <item x="7"/>
        <item x="304"/>
        <item x="9"/>
        <item x="134"/>
        <item x="209"/>
        <item x="322"/>
        <item x="325"/>
        <item x="370"/>
        <item x="81"/>
        <item x="58"/>
        <item x="328"/>
        <item x="198"/>
        <item x="347"/>
        <item x="94"/>
        <item x="74"/>
        <item x="24"/>
        <item x="103"/>
        <item x="4"/>
        <item x="353"/>
        <item x="257"/>
        <item x="277"/>
        <item x="10"/>
        <item x="185"/>
        <item x="308"/>
        <item x="113"/>
        <item x="148"/>
        <item x="394"/>
        <item x="339"/>
        <item x="363"/>
        <item x="230"/>
        <item x="155"/>
        <item x="36"/>
        <item x="88"/>
        <item x="317"/>
        <item x="66"/>
        <item x="345"/>
        <item x="351"/>
        <item x="412"/>
        <item x="248"/>
        <item x="28"/>
        <item x="3"/>
        <item x="312"/>
        <item x="315"/>
        <item x="82"/>
        <item x="137"/>
        <item x="361"/>
        <item x="189"/>
        <item x="124"/>
        <item x="56"/>
        <item x="333"/>
        <item x="171"/>
        <item x="266"/>
        <item x="38"/>
        <item x="46"/>
        <item x="235"/>
        <item x="19"/>
        <item x="119"/>
        <item x="193"/>
        <item x="393"/>
        <item x="372"/>
        <item x="385"/>
        <item x="237"/>
        <item x="101"/>
        <item x="344"/>
        <item x="139"/>
        <item x="138"/>
        <item x="39"/>
        <item x="108"/>
        <item x="267"/>
        <item x="369"/>
        <item x="67"/>
        <item x="203"/>
        <item x="338"/>
        <item x="132"/>
        <item x="34"/>
        <item x="202"/>
        <item x="276"/>
        <item x="72"/>
        <item x="42"/>
        <item x="77"/>
        <item x="14"/>
        <item x="336"/>
        <item x="398"/>
        <item x="197"/>
        <item x="70"/>
        <item x="260"/>
        <item x="136"/>
        <item x="279"/>
        <item x="326"/>
        <item x="200"/>
        <item x="405"/>
        <item x="221"/>
        <item x="307"/>
        <item x="290"/>
        <item x="350"/>
        <item x="340"/>
        <item x="102"/>
        <item x="238"/>
        <item x="135"/>
        <item x="143"/>
        <item x="262"/>
        <item x="48"/>
        <item x="211"/>
        <item x="272"/>
        <item x="186"/>
        <item x="110"/>
        <item x="219"/>
        <item x="407"/>
        <item x="181"/>
        <item x="271"/>
        <item x="399"/>
        <item x="223"/>
        <item x="41"/>
        <item x="127"/>
        <item x="75"/>
        <item x="246"/>
        <item x="144"/>
        <item x="16"/>
        <item x="55"/>
        <item x="316"/>
        <item x="283"/>
        <item x="375"/>
        <item x="164"/>
        <item x="270"/>
        <item x="64"/>
        <item x="123"/>
        <item x="292"/>
        <item x="381"/>
        <item x="160"/>
        <item x="273"/>
        <item x="118"/>
        <item x="76"/>
        <item x="163"/>
        <item x="383"/>
        <item x="21"/>
        <item x="50"/>
        <item x="190"/>
        <item x="179"/>
        <item x="27"/>
        <item x="294"/>
        <item x="360"/>
        <item x="335"/>
        <item x="45"/>
        <item x="6"/>
        <item x="404"/>
        <item x="33"/>
        <item x="306"/>
        <item t="default"/>
      </items>
    </pivotField>
    <pivotField showAll="0"/>
    <pivotField showAll="0"/>
    <pivotField showAll="0"/>
    <pivotField showAll="0"/>
    <pivotField showAll="0"/>
    <pivotField showAll="0"/>
    <pivotField showAll="0"/>
    <pivotField showAll="0"/>
    <pivotField showAll="0"/>
    <pivotField dataField="1" showAll="0"/>
    <pivotField showAll="0"/>
  </pivotFields>
  <rowItems count="1">
    <i/>
  </rowItems>
  <colItems count="1">
    <i/>
  </colItems>
  <dataFields count="1">
    <dataField name="Average of ROI%" fld="14"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0251AB3-4B69-40E1-8015-BFEFA5AC70EB}" name="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pivotFields count="16">
    <pivotField showAll="0">
      <items count="50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t="default"/>
      </items>
    </pivotField>
    <pivotField numFmtId="14" showAll="0"/>
    <pivotField showAll="0">
      <items count="6">
        <item x="2"/>
        <item x="1"/>
        <item x="3"/>
        <item x="4"/>
        <item x="0"/>
        <item t="default"/>
      </items>
    </pivotField>
    <pivotField showAll="0">
      <items count="18">
        <item x="1"/>
        <item x="6"/>
        <item x="15"/>
        <item x="3"/>
        <item x="2"/>
        <item x="5"/>
        <item x="16"/>
        <item x="4"/>
        <item x="13"/>
        <item x="11"/>
        <item x="7"/>
        <item x="10"/>
        <item x="12"/>
        <item x="14"/>
        <item x="9"/>
        <item x="8"/>
        <item x="0"/>
        <item t="default"/>
      </items>
    </pivotField>
    <pivotField showAll="0">
      <items count="415">
        <item x="289"/>
        <item x="251"/>
        <item x="410"/>
        <item x="403"/>
        <item x="368"/>
        <item x="281"/>
        <item x="357"/>
        <item x="168"/>
        <item x="126"/>
        <item x="98"/>
        <item x="396"/>
        <item x="222"/>
        <item x="115"/>
        <item x="180"/>
        <item x="176"/>
        <item x="157"/>
        <item x="187"/>
        <item x="318"/>
        <item x="218"/>
        <item x="166"/>
        <item x="52"/>
        <item x="195"/>
        <item x="358"/>
        <item x="129"/>
        <item x="243"/>
        <item x="53"/>
        <item x="293"/>
        <item x="208"/>
        <item x="12"/>
        <item x="305"/>
        <item x="215"/>
        <item x="68"/>
        <item x="177"/>
        <item x="25"/>
        <item x="259"/>
        <item x="170"/>
        <item x="2"/>
        <item x="252"/>
        <item x="183"/>
        <item x="313"/>
        <item x="29"/>
        <item x="278"/>
        <item x="413"/>
        <item x="37"/>
        <item x="35"/>
        <item x="367"/>
        <item x="349"/>
        <item x="258"/>
        <item x="178"/>
        <item x="366"/>
        <item x="297"/>
        <item x="255"/>
        <item x="153"/>
        <item x="61"/>
        <item x="331"/>
        <item x="5"/>
        <item x="13"/>
        <item x="364"/>
        <item x="409"/>
        <item x="232"/>
        <item x="97"/>
        <item x="20"/>
        <item x="47"/>
        <item x="253"/>
        <item x="247"/>
        <item x="320"/>
        <item x="152"/>
        <item x="83"/>
        <item x="217"/>
        <item x="226"/>
        <item x="78"/>
        <item x="380"/>
        <item x="301"/>
        <item x="96"/>
        <item x="145"/>
        <item x="142"/>
        <item x="268"/>
        <item x="265"/>
        <item x="92"/>
        <item x="287"/>
        <item x="23"/>
        <item x="65"/>
        <item x="111"/>
        <item x="59"/>
        <item x="377"/>
        <item x="400"/>
        <item x="242"/>
        <item x="71"/>
        <item x="201"/>
        <item x="0"/>
        <item x="406"/>
        <item x="62"/>
        <item x="87"/>
        <item x="274"/>
        <item x="204"/>
        <item x="89"/>
        <item x="93"/>
        <item x="80"/>
        <item x="327"/>
        <item x="167"/>
        <item x="117"/>
        <item x="128"/>
        <item x="332"/>
        <item x="212"/>
        <item x="191"/>
        <item x="18"/>
        <item x="348"/>
        <item x="154"/>
        <item x="387"/>
        <item x="245"/>
        <item x="395"/>
        <item x="334"/>
        <item x="125"/>
        <item x="131"/>
        <item x="234"/>
        <item x="241"/>
        <item x="233"/>
        <item x="194"/>
        <item x="120"/>
        <item x="182"/>
        <item x="352"/>
        <item x="90"/>
        <item x="57"/>
        <item x="324"/>
        <item x="95"/>
        <item x="91"/>
        <item x="296"/>
        <item x="397"/>
        <item x="321"/>
        <item x="329"/>
        <item x="220"/>
        <item x="376"/>
        <item x="225"/>
        <item x="175"/>
        <item x="227"/>
        <item x="109"/>
        <item x="378"/>
        <item x="275"/>
        <item x="84"/>
        <item x="319"/>
        <item x="44"/>
        <item x="264"/>
        <item x="116"/>
        <item x="355"/>
        <item x="192"/>
        <item x="104"/>
        <item x="359"/>
        <item x="85"/>
        <item x="99"/>
        <item x="147"/>
        <item x="130"/>
        <item x="341"/>
        <item x="174"/>
        <item x="228"/>
        <item x="229"/>
        <item x="40"/>
        <item x="401"/>
        <item x="302"/>
        <item x="216"/>
        <item x="239"/>
        <item x="69"/>
        <item x="236"/>
        <item x="337"/>
        <item x="342"/>
        <item x="114"/>
        <item x="199"/>
        <item x="86"/>
        <item x="284"/>
        <item x="11"/>
        <item x="214"/>
        <item x="354"/>
        <item x="373"/>
        <item x="365"/>
        <item x="169"/>
        <item x="356"/>
        <item x="362"/>
        <item x="386"/>
        <item x="140"/>
        <item x="374"/>
        <item x="224"/>
        <item x="310"/>
        <item x="205"/>
        <item x="149"/>
        <item x="298"/>
        <item x="402"/>
        <item x="184"/>
        <item x="105"/>
        <item x="161"/>
        <item x="371"/>
        <item x="240"/>
        <item x="54"/>
        <item x="172"/>
        <item x="188"/>
        <item x="314"/>
        <item x="213"/>
        <item x="121"/>
        <item x="311"/>
        <item x="49"/>
        <item x="30"/>
        <item x="391"/>
        <item x="384"/>
        <item x="282"/>
        <item x="288"/>
        <item x="8"/>
        <item x="26"/>
        <item x="51"/>
        <item x="107"/>
        <item x="60"/>
        <item x="22"/>
        <item x="31"/>
        <item x="150"/>
        <item x="244"/>
        <item x="122"/>
        <item x="343"/>
        <item x="280"/>
        <item x="291"/>
        <item x="231"/>
        <item x="250"/>
        <item x="207"/>
        <item x="309"/>
        <item x="106"/>
        <item x="63"/>
        <item x="151"/>
        <item x="323"/>
        <item x="210"/>
        <item x="100"/>
        <item x="411"/>
        <item x="15"/>
        <item x="389"/>
        <item x="146"/>
        <item x="249"/>
        <item x="388"/>
        <item x="330"/>
        <item x="196"/>
        <item x="303"/>
        <item x="256"/>
        <item x="269"/>
        <item x="295"/>
        <item x="285"/>
        <item x="141"/>
        <item x="382"/>
        <item x="254"/>
        <item x="390"/>
        <item x="206"/>
        <item x="173"/>
        <item x="165"/>
        <item x="17"/>
        <item x="299"/>
        <item x="32"/>
        <item x="133"/>
        <item x="408"/>
        <item x="286"/>
        <item x="300"/>
        <item x="261"/>
        <item x="112"/>
        <item x="392"/>
        <item x="79"/>
        <item x="162"/>
        <item x="73"/>
        <item x="346"/>
        <item x="158"/>
        <item x="379"/>
        <item x="1"/>
        <item x="156"/>
        <item x="159"/>
        <item x="263"/>
        <item x="43"/>
        <item x="7"/>
        <item x="304"/>
        <item x="9"/>
        <item x="134"/>
        <item x="209"/>
        <item x="322"/>
        <item x="325"/>
        <item x="370"/>
        <item x="81"/>
        <item x="58"/>
        <item x="328"/>
        <item x="198"/>
        <item x="347"/>
        <item x="94"/>
        <item x="74"/>
        <item x="24"/>
        <item x="103"/>
        <item x="4"/>
        <item x="353"/>
        <item x="257"/>
        <item x="277"/>
        <item x="10"/>
        <item x="185"/>
        <item x="308"/>
        <item x="113"/>
        <item x="148"/>
        <item x="394"/>
        <item x="339"/>
        <item x="363"/>
        <item x="230"/>
        <item x="155"/>
        <item x="36"/>
        <item x="88"/>
        <item x="317"/>
        <item x="66"/>
        <item x="345"/>
        <item x="351"/>
        <item x="412"/>
        <item x="248"/>
        <item x="28"/>
        <item x="3"/>
        <item x="312"/>
        <item x="315"/>
        <item x="82"/>
        <item x="137"/>
        <item x="361"/>
        <item x="189"/>
        <item x="124"/>
        <item x="56"/>
        <item x="333"/>
        <item x="171"/>
        <item x="266"/>
        <item x="38"/>
        <item x="46"/>
        <item x="235"/>
        <item x="19"/>
        <item x="119"/>
        <item x="193"/>
        <item x="393"/>
        <item x="372"/>
        <item x="385"/>
        <item x="237"/>
        <item x="101"/>
        <item x="344"/>
        <item x="139"/>
        <item x="138"/>
        <item x="39"/>
        <item x="108"/>
        <item x="267"/>
        <item x="369"/>
        <item x="67"/>
        <item x="203"/>
        <item x="338"/>
        <item x="132"/>
        <item x="34"/>
        <item x="202"/>
        <item x="276"/>
        <item x="72"/>
        <item x="42"/>
        <item x="77"/>
        <item x="14"/>
        <item x="336"/>
        <item x="398"/>
        <item x="197"/>
        <item x="70"/>
        <item x="260"/>
        <item x="136"/>
        <item x="279"/>
        <item x="326"/>
        <item x="200"/>
        <item x="405"/>
        <item x="221"/>
        <item x="307"/>
        <item x="290"/>
        <item x="350"/>
        <item x="340"/>
        <item x="102"/>
        <item x="238"/>
        <item x="135"/>
        <item x="143"/>
        <item x="262"/>
        <item x="48"/>
        <item x="211"/>
        <item x="272"/>
        <item x="186"/>
        <item x="110"/>
        <item x="219"/>
        <item x="407"/>
        <item x="181"/>
        <item x="271"/>
        <item x="399"/>
        <item x="223"/>
        <item x="41"/>
        <item x="127"/>
        <item x="75"/>
        <item x="246"/>
        <item x="144"/>
        <item x="16"/>
        <item x="55"/>
        <item x="316"/>
        <item x="283"/>
        <item x="375"/>
        <item x="164"/>
        <item x="270"/>
        <item x="64"/>
        <item x="123"/>
        <item x="292"/>
        <item x="381"/>
        <item x="160"/>
        <item x="273"/>
        <item x="118"/>
        <item x="76"/>
        <item x="163"/>
        <item x="383"/>
        <item x="21"/>
        <item x="50"/>
        <item x="190"/>
        <item x="179"/>
        <item x="27"/>
        <item x="294"/>
        <item x="360"/>
        <item x="335"/>
        <item x="45"/>
        <item x="6"/>
        <item x="404"/>
        <item x="33"/>
        <item x="306"/>
        <item t="default"/>
      </items>
    </pivotField>
    <pivotField showAll="0"/>
    <pivotField showAll="0"/>
    <pivotField showAll="0"/>
    <pivotField showAll="0"/>
    <pivotField showAll="0"/>
    <pivotField showAll="0"/>
    <pivotField showAll="0"/>
    <pivotField showAll="0"/>
    <pivotField dataField="1" showAll="0"/>
    <pivotField showAll="0"/>
    <pivotField showAll="0"/>
  </pivotFields>
  <rowItems count="1">
    <i/>
  </rowItems>
  <colItems count="1">
    <i/>
  </colItems>
  <dataFields count="1">
    <dataField name="Sum of Profit"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56E6266-0818-4AE3-ADD6-3CA504AC6264}" name="Budget VS Revenue"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Budget">
  <location ref="A56:B203" firstHeaderRow="1" firstDataRow="1" firstDataCol="1"/>
  <pivotFields count="16">
    <pivotField showAll="0">
      <items count="50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t="default"/>
      </items>
    </pivotField>
    <pivotField numFmtId="14" showAll="0"/>
    <pivotField showAll="0">
      <items count="6">
        <item x="2"/>
        <item x="1"/>
        <item x="3"/>
        <item x="4"/>
        <item x="0"/>
        <item t="default"/>
      </items>
    </pivotField>
    <pivotField showAll="0">
      <items count="18">
        <item x="1"/>
        <item x="6"/>
        <item x="15"/>
        <item x="3"/>
        <item x="2"/>
        <item x="5"/>
        <item x="16"/>
        <item x="4"/>
        <item x="13"/>
        <item x="11"/>
        <item x="7"/>
        <item x="10"/>
        <item x="12"/>
        <item x="14"/>
        <item x="9"/>
        <item x="8"/>
        <item x="0"/>
        <item t="default"/>
      </items>
    </pivotField>
    <pivotField showAll="0">
      <items count="415">
        <item x="289"/>
        <item x="251"/>
        <item x="410"/>
        <item x="403"/>
        <item x="368"/>
        <item x="281"/>
        <item x="357"/>
        <item x="168"/>
        <item x="126"/>
        <item x="98"/>
        <item x="396"/>
        <item x="222"/>
        <item x="115"/>
        <item x="180"/>
        <item x="176"/>
        <item x="157"/>
        <item x="187"/>
        <item x="318"/>
        <item x="218"/>
        <item x="166"/>
        <item x="52"/>
        <item x="195"/>
        <item x="358"/>
        <item x="129"/>
        <item x="243"/>
        <item x="53"/>
        <item x="293"/>
        <item x="208"/>
        <item x="12"/>
        <item x="305"/>
        <item x="215"/>
        <item x="68"/>
        <item x="177"/>
        <item x="25"/>
        <item x="259"/>
        <item x="170"/>
        <item x="2"/>
        <item x="252"/>
        <item x="183"/>
        <item x="313"/>
        <item x="29"/>
        <item x="278"/>
        <item x="413"/>
        <item x="37"/>
        <item x="35"/>
        <item x="367"/>
        <item x="349"/>
        <item x="258"/>
        <item x="178"/>
        <item x="366"/>
        <item x="297"/>
        <item x="255"/>
        <item x="153"/>
        <item x="61"/>
        <item x="331"/>
        <item x="5"/>
        <item x="13"/>
        <item x="364"/>
        <item x="409"/>
        <item x="232"/>
        <item x="97"/>
        <item x="20"/>
        <item x="47"/>
        <item x="253"/>
        <item x="247"/>
        <item x="320"/>
        <item x="152"/>
        <item x="83"/>
        <item x="217"/>
        <item x="226"/>
        <item x="78"/>
        <item x="380"/>
        <item x="301"/>
        <item x="96"/>
        <item x="145"/>
        <item x="142"/>
        <item x="268"/>
        <item x="265"/>
        <item x="92"/>
        <item x="287"/>
        <item x="23"/>
        <item x="65"/>
        <item x="111"/>
        <item x="59"/>
        <item x="377"/>
        <item x="400"/>
        <item x="242"/>
        <item x="71"/>
        <item x="201"/>
        <item x="0"/>
        <item x="406"/>
        <item x="62"/>
        <item x="87"/>
        <item x="274"/>
        <item x="204"/>
        <item x="89"/>
        <item x="93"/>
        <item x="80"/>
        <item x="327"/>
        <item x="167"/>
        <item x="117"/>
        <item x="128"/>
        <item x="332"/>
        <item x="212"/>
        <item x="191"/>
        <item x="18"/>
        <item x="348"/>
        <item x="154"/>
        <item x="387"/>
        <item x="245"/>
        <item x="395"/>
        <item x="334"/>
        <item x="125"/>
        <item x="131"/>
        <item x="234"/>
        <item x="241"/>
        <item x="233"/>
        <item x="194"/>
        <item x="120"/>
        <item x="182"/>
        <item x="352"/>
        <item x="90"/>
        <item x="57"/>
        <item x="324"/>
        <item x="95"/>
        <item x="91"/>
        <item x="296"/>
        <item x="397"/>
        <item x="321"/>
        <item x="329"/>
        <item x="220"/>
        <item x="376"/>
        <item x="225"/>
        <item x="175"/>
        <item x="227"/>
        <item x="109"/>
        <item x="378"/>
        <item x="275"/>
        <item x="84"/>
        <item x="319"/>
        <item x="44"/>
        <item x="264"/>
        <item x="116"/>
        <item x="355"/>
        <item x="192"/>
        <item x="104"/>
        <item x="359"/>
        <item x="85"/>
        <item x="99"/>
        <item x="147"/>
        <item x="130"/>
        <item x="341"/>
        <item x="174"/>
        <item x="228"/>
        <item x="229"/>
        <item x="40"/>
        <item x="401"/>
        <item x="302"/>
        <item x="216"/>
        <item x="239"/>
        <item x="69"/>
        <item x="236"/>
        <item x="337"/>
        <item x="342"/>
        <item x="114"/>
        <item x="199"/>
        <item x="86"/>
        <item x="284"/>
        <item x="11"/>
        <item x="214"/>
        <item x="354"/>
        <item x="373"/>
        <item x="365"/>
        <item x="169"/>
        <item x="356"/>
        <item x="362"/>
        <item x="386"/>
        <item x="140"/>
        <item x="374"/>
        <item x="224"/>
        <item x="310"/>
        <item x="205"/>
        <item x="149"/>
        <item x="298"/>
        <item x="402"/>
        <item x="184"/>
        <item x="105"/>
        <item x="161"/>
        <item x="371"/>
        <item x="240"/>
        <item x="54"/>
        <item x="172"/>
        <item x="188"/>
        <item x="314"/>
        <item x="213"/>
        <item x="121"/>
        <item x="311"/>
        <item x="49"/>
        <item x="30"/>
        <item x="391"/>
        <item x="384"/>
        <item x="282"/>
        <item x="288"/>
        <item x="8"/>
        <item x="26"/>
        <item x="51"/>
        <item x="107"/>
        <item x="60"/>
        <item x="22"/>
        <item x="31"/>
        <item x="150"/>
        <item x="244"/>
        <item x="122"/>
        <item x="343"/>
        <item x="280"/>
        <item x="291"/>
        <item x="231"/>
        <item x="250"/>
        <item x="207"/>
        <item x="309"/>
        <item x="106"/>
        <item x="63"/>
        <item x="151"/>
        <item x="323"/>
        <item x="210"/>
        <item x="100"/>
        <item x="411"/>
        <item x="15"/>
        <item x="389"/>
        <item x="146"/>
        <item x="249"/>
        <item x="388"/>
        <item x="330"/>
        <item x="196"/>
        <item x="303"/>
        <item x="256"/>
        <item x="269"/>
        <item x="295"/>
        <item x="285"/>
        <item x="141"/>
        <item x="382"/>
        <item x="254"/>
        <item x="390"/>
        <item x="206"/>
        <item x="173"/>
        <item x="165"/>
        <item x="17"/>
        <item x="299"/>
        <item x="32"/>
        <item x="133"/>
        <item x="408"/>
        <item x="286"/>
        <item x="300"/>
        <item x="261"/>
        <item x="112"/>
        <item x="392"/>
        <item x="79"/>
        <item x="162"/>
        <item x="73"/>
        <item x="346"/>
        <item x="158"/>
        <item x="379"/>
        <item x="1"/>
        <item x="156"/>
        <item x="159"/>
        <item x="263"/>
        <item x="43"/>
        <item x="7"/>
        <item x="304"/>
        <item x="9"/>
        <item x="134"/>
        <item x="209"/>
        <item x="322"/>
        <item x="325"/>
        <item x="370"/>
        <item x="81"/>
        <item x="58"/>
        <item x="328"/>
        <item x="198"/>
        <item x="347"/>
        <item x="94"/>
        <item x="74"/>
        <item x="24"/>
        <item x="103"/>
        <item x="4"/>
        <item x="353"/>
        <item x="257"/>
        <item x="277"/>
        <item x="10"/>
        <item x="185"/>
        <item x="308"/>
        <item x="113"/>
        <item x="148"/>
        <item x="394"/>
        <item x="339"/>
        <item x="363"/>
        <item x="230"/>
        <item x="155"/>
        <item x="36"/>
        <item x="88"/>
        <item x="317"/>
        <item x="66"/>
        <item x="345"/>
        <item x="351"/>
        <item x="412"/>
        <item x="248"/>
        <item x="28"/>
        <item x="3"/>
        <item x="312"/>
        <item x="315"/>
        <item x="82"/>
        <item x="137"/>
        <item x="361"/>
        <item x="189"/>
        <item x="124"/>
        <item x="56"/>
        <item x="333"/>
        <item x="171"/>
        <item x="266"/>
        <item x="38"/>
        <item x="46"/>
        <item x="235"/>
        <item x="19"/>
        <item x="119"/>
        <item x="193"/>
        <item x="393"/>
        <item x="372"/>
        <item x="385"/>
        <item x="237"/>
        <item x="101"/>
        <item x="344"/>
        <item x="139"/>
        <item x="138"/>
        <item x="39"/>
        <item x="108"/>
        <item x="267"/>
        <item x="369"/>
        <item x="67"/>
        <item x="203"/>
        <item x="338"/>
        <item x="132"/>
        <item x="34"/>
        <item x="202"/>
        <item x="276"/>
        <item x="72"/>
        <item x="42"/>
        <item x="77"/>
        <item x="14"/>
        <item x="336"/>
        <item x="398"/>
        <item x="197"/>
        <item x="70"/>
        <item x="260"/>
        <item x="136"/>
        <item x="279"/>
        <item x="326"/>
        <item x="200"/>
        <item x="405"/>
        <item x="221"/>
        <item x="307"/>
        <item x="290"/>
        <item x="350"/>
        <item x="340"/>
        <item x="102"/>
        <item x="238"/>
        <item x="135"/>
        <item x="143"/>
        <item x="262"/>
        <item x="48"/>
        <item x="211"/>
        <item x="272"/>
        <item x="186"/>
        <item x="110"/>
        <item x="219"/>
        <item x="407"/>
        <item x="181"/>
        <item x="271"/>
        <item x="399"/>
        <item x="223"/>
        <item x="41"/>
        <item x="127"/>
        <item x="75"/>
        <item x="246"/>
        <item x="144"/>
        <item x="16"/>
        <item x="55"/>
        <item x="316"/>
        <item x="283"/>
        <item x="375"/>
        <item x="164"/>
        <item x="270"/>
        <item x="64"/>
        <item x="123"/>
        <item x="292"/>
        <item x="381"/>
        <item x="160"/>
        <item x="273"/>
        <item x="118"/>
        <item x="76"/>
        <item x="163"/>
        <item x="383"/>
        <item x="21"/>
        <item x="50"/>
        <item x="190"/>
        <item x="179"/>
        <item x="27"/>
        <item x="294"/>
        <item x="360"/>
        <item x="335"/>
        <item x="45"/>
        <item x="6"/>
        <item x="404"/>
        <item x="33"/>
        <item x="306"/>
        <item t="default"/>
      </items>
    </pivotField>
    <pivotField showAll="0"/>
    <pivotField showAll="0"/>
    <pivotField showAll="0"/>
    <pivotField showAll="0"/>
    <pivotField showAll="0"/>
    <pivotField showAll="0"/>
    <pivotField axis="axisRow" showAll="0">
      <items count="148">
        <item x="45"/>
        <item x="139"/>
        <item x="100"/>
        <item x="65"/>
        <item x="56"/>
        <item x="112"/>
        <item x="30"/>
        <item x="42"/>
        <item x="91"/>
        <item x="10"/>
        <item x="104"/>
        <item x="73"/>
        <item x="131"/>
        <item x="23"/>
        <item x="28"/>
        <item x="141"/>
        <item x="11"/>
        <item x="138"/>
        <item x="93"/>
        <item x="8"/>
        <item x="130"/>
        <item x="24"/>
        <item x="34"/>
        <item x="87"/>
        <item x="15"/>
        <item x="7"/>
        <item x="102"/>
        <item x="145"/>
        <item x="60"/>
        <item x="35"/>
        <item x="40"/>
        <item x="43"/>
        <item x="46"/>
        <item x="126"/>
        <item x="62"/>
        <item x="103"/>
        <item x="74"/>
        <item x="116"/>
        <item x="0"/>
        <item x="92"/>
        <item x="95"/>
        <item x="68"/>
        <item x="38"/>
        <item x="143"/>
        <item x="72"/>
        <item x="117"/>
        <item x="144"/>
        <item x="13"/>
        <item x="118"/>
        <item x="32"/>
        <item x="142"/>
        <item x="12"/>
        <item x="39"/>
        <item x="94"/>
        <item x="61"/>
        <item x="107"/>
        <item x="98"/>
        <item x="14"/>
        <item x="109"/>
        <item x="54"/>
        <item x="71"/>
        <item x="50"/>
        <item x="134"/>
        <item x="128"/>
        <item x="18"/>
        <item x="59"/>
        <item x="115"/>
        <item x="66"/>
        <item x="6"/>
        <item x="81"/>
        <item x="136"/>
        <item x="121"/>
        <item x="127"/>
        <item x="26"/>
        <item x="1"/>
        <item x="111"/>
        <item x="129"/>
        <item x="44"/>
        <item x="21"/>
        <item x="122"/>
        <item x="19"/>
        <item x="36"/>
        <item x="3"/>
        <item x="99"/>
        <item x="49"/>
        <item x="55"/>
        <item x="88"/>
        <item x="22"/>
        <item x="31"/>
        <item x="135"/>
        <item x="2"/>
        <item x="114"/>
        <item x="25"/>
        <item x="75"/>
        <item x="51"/>
        <item x="37"/>
        <item x="125"/>
        <item x="140"/>
        <item x="76"/>
        <item x="57"/>
        <item x="48"/>
        <item x="89"/>
        <item x="80"/>
        <item x="79"/>
        <item x="4"/>
        <item x="58"/>
        <item x="20"/>
        <item x="9"/>
        <item x="67"/>
        <item x="90"/>
        <item x="85"/>
        <item x="137"/>
        <item x="16"/>
        <item x="33"/>
        <item x="113"/>
        <item x="84"/>
        <item x="133"/>
        <item x="5"/>
        <item x="64"/>
        <item x="69"/>
        <item x="105"/>
        <item x="101"/>
        <item x="47"/>
        <item x="110"/>
        <item x="17"/>
        <item x="108"/>
        <item x="82"/>
        <item x="78"/>
        <item x="77"/>
        <item x="83"/>
        <item x="52"/>
        <item x="123"/>
        <item x="70"/>
        <item x="86"/>
        <item x="41"/>
        <item x="120"/>
        <item x="63"/>
        <item x="132"/>
        <item x="119"/>
        <item x="106"/>
        <item x="146"/>
        <item x="97"/>
        <item x="29"/>
        <item x="96"/>
        <item x="124"/>
        <item x="53"/>
        <item x="27"/>
        <item t="default"/>
      </items>
    </pivotField>
    <pivotField showAll="0"/>
    <pivotField dataField="1" showAll="0"/>
    <pivotField showAll="0"/>
    <pivotField showAll="0">
      <items count="5">
        <item x="0"/>
        <item x="3"/>
        <item x="2"/>
        <item x="1"/>
        <item t="default"/>
      </items>
    </pivotField>
  </pivotFields>
  <rowFields count="1">
    <field x="11"/>
  </rowFields>
  <rowItems count="14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rowItems>
  <colItems count="1">
    <i/>
  </colItems>
  <dataFields count="1">
    <dataField name="Sum of Profit" fld="13" baseField="0" baseItem="0"/>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0BB0746-F2AC-4637-AD03-9736325D533B}" name="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16">
    <pivotField showAll="0">
      <items count="50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t="default"/>
      </items>
    </pivotField>
    <pivotField numFmtId="14" showAll="0"/>
    <pivotField showAll="0">
      <items count="6">
        <item x="2"/>
        <item x="1"/>
        <item x="3"/>
        <item x="4"/>
        <item x="0"/>
        <item t="default"/>
      </items>
    </pivotField>
    <pivotField showAll="0">
      <items count="18">
        <item x="1"/>
        <item x="6"/>
        <item x="15"/>
        <item x="3"/>
        <item x="2"/>
        <item x="5"/>
        <item x="16"/>
        <item x="4"/>
        <item x="13"/>
        <item x="11"/>
        <item x="7"/>
        <item x="10"/>
        <item x="12"/>
        <item x="14"/>
        <item x="9"/>
        <item x="8"/>
        <item x="0"/>
        <item t="default"/>
      </items>
    </pivotField>
    <pivotField showAll="0">
      <items count="415">
        <item x="289"/>
        <item x="251"/>
        <item x="410"/>
        <item x="403"/>
        <item x="368"/>
        <item x="281"/>
        <item x="357"/>
        <item x="168"/>
        <item x="126"/>
        <item x="98"/>
        <item x="396"/>
        <item x="222"/>
        <item x="115"/>
        <item x="180"/>
        <item x="176"/>
        <item x="157"/>
        <item x="187"/>
        <item x="318"/>
        <item x="218"/>
        <item x="166"/>
        <item x="52"/>
        <item x="195"/>
        <item x="358"/>
        <item x="129"/>
        <item x="243"/>
        <item x="53"/>
        <item x="293"/>
        <item x="208"/>
        <item x="12"/>
        <item x="305"/>
        <item x="215"/>
        <item x="68"/>
        <item x="177"/>
        <item x="25"/>
        <item x="259"/>
        <item x="170"/>
        <item x="2"/>
        <item x="252"/>
        <item x="183"/>
        <item x="313"/>
        <item x="29"/>
        <item x="278"/>
        <item x="413"/>
        <item x="37"/>
        <item x="35"/>
        <item x="367"/>
        <item x="349"/>
        <item x="258"/>
        <item x="178"/>
        <item x="366"/>
        <item x="297"/>
        <item x="255"/>
        <item x="153"/>
        <item x="61"/>
        <item x="331"/>
        <item x="5"/>
        <item x="13"/>
        <item x="364"/>
        <item x="409"/>
        <item x="232"/>
        <item x="97"/>
        <item x="20"/>
        <item x="47"/>
        <item x="253"/>
        <item x="247"/>
        <item x="320"/>
        <item x="152"/>
        <item x="83"/>
        <item x="217"/>
        <item x="226"/>
        <item x="78"/>
        <item x="380"/>
        <item x="301"/>
        <item x="96"/>
        <item x="145"/>
        <item x="142"/>
        <item x="268"/>
        <item x="265"/>
        <item x="92"/>
        <item x="287"/>
        <item x="23"/>
        <item x="65"/>
        <item x="111"/>
        <item x="59"/>
        <item x="377"/>
        <item x="400"/>
        <item x="242"/>
        <item x="71"/>
        <item x="201"/>
        <item x="0"/>
        <item x="406"/>
        <item x="62"/>
        <item x="87"/>
        <item x="274"/>
        <item x="204"/>
        <item x="89"/>
        <item x="93"/>
        <item x="80"/>
        <item x="327"/>
        <item x="167"/>
        <item x="117"/>
        <item x="128"/>
        <item x="332"/>
        <item x="212"/>
        <item x="191"/>
        <item x="18"/>
        <item x="348"/>
        <item x="154"/>
        <item x="387"/>
        <item x="245"/>
        <item x="395"/>
        <item x="334"/>
        <item x="125"/>
        <item x="131"/>
        <item x="234"/>
        <item x="241"/>
        <item x="233"/>
        <item x="194"/>
        <item x="120"/>
        <item x="182"/>
        <item x="352"/>
        <item x="90"/>
        <item x="57"/>
        <item x="324"/>
        <item x="95"/>
        <item x="91"/>
        <item x="296"/>
        <item x="397"/>
        <item x="321"/>
        <item x="329"/>
        <item x="220"/>
        <item x="376"/>
        <item x="225"/>
        <item x="175"/>
        <item x="227"/>
        <item x="109"/>
        <item x="378"/>
        <item x="275"/>
        <item x="84"/>
        <item x="319"/>
        <item x="44"/>
        <item x="264"/>
        <item x="116"/>
        <item x="355"/>
        <item x="192"/>
        <item x="104"/>
        <item x="359"/>
        <item x="85"/>
        <item x="99"/>
        <item x="147"/>
        <item x="130"/>
        <item x="341"/>
        <item x="174"/>
        <item x="228"/>
        <item x="229"/>
        <item x="40"/>
        <item x="401"/>
        <item x="302"/>
        <item x="216"/>
        <item x="239"/>
        <item x="69"/>
        <item x="236"/>
        <item x="337"/>
        <item x="342"/>
        <item x="114"/>
        <item x="199"/>
        <item x="86"/>
        <item x="284"/>
        <item x="11"/>
        <item x="214"/>
        <item x="354"/>
        <item x="373"/>
        <item x="365"/>
        <item x="169"/>
        <item x="356"/>
        <item x="362"/>
        <item x="386"/>
        <item x="140"/>
        <item x="374"/>
        <item x="224"/>
        <item x="310"/>
        <item x="205"/>
        <item x="149"/>
        <item x="298"/>
        <item x="402"/>
        <item x="184"/>
        <item x="105"/>
        <item x="161"/>
        <item x="371"/>
        <item x="240"/>
        <item x="54"/>
        <item x="172"/>
        <item x="188"/>
        <item x="314"/>
        <item x="213"/>
        <item x="121"/>
        <item x="311"/>
        <item x="49"/>
        <item x="30"/>
        <item x="391"/>
        <item x="384"/>
        <item x="282"/>
        <item x="288"/>
        <item x="8"/>
        <item x="26"/>
        <item x="51"/>
        <item x="107"/>
        <item x="60"/>
        <item x="22"/>
        <item x="31"/>
        <item x="150"/>
        <item x="244"/>
        <item x="122"/>
        <item x="343"/>
        <item x="280"/>
        <item x="291"/>
        <item x="231"/>
        <item x="250"/>
        <item x="207"/>
        <item x="309"/>
        <item x="106"/>
        <item x="63"/>
        <item x="151"/>
        <item x="323"/>
        <item x="210"/>
        <item x="100"/>
        <item x="411"/>
        <item x="15"/>
        <item x="389"/>
        <item x="146"/>
        <item x="249"/>
        <item x="388"/>
        <item x="330"/>
        <item x="196"/>
        <item x="303"/>
        <item x="256"/>
        <item x="269"/>
        <item x="295"/>
        <item x="285"/>
        <item x="141"/>
        <item x="382"/>
        <item x="254"/>
        <item x="390"/>
        <item x="206"/>
        <item x="173"/>
        <item x="165"/>
        <item x="17"/>
        <item x="299"/>
        <item x="32"/>
        <item x="133"/>
        <item x="408"/>
        <item x="286"/>
        <item x="300"/>
        <item x="261"/>
        <item x="112"/>
        <item x="392"/>
        <item x="79"/>
        <item x="162"/>
        <item x="73"/>
        <item x="346"/>
        <item x="158"/>
        <item x="379"/>
        <item x="1"/>
        <item x="156"/>
        <item x="159"/>
        <item x="263"/>
        <item x="43"/>
        <item x="7"/>
        <item x="304"/>
        <item x="9"/>
        <item x="134"/>
        <item x="209"/>
        <item x="322"/>
        <item x="325"/>
        <item x="370"/>
        <item x="81"/>
        <item x="58"/>
        <item x="328"/>
        <item x="198"/>
        <item x="347"/>
        <item x="94"/>
        <item x="74"/>
        <item x="24"/>
        <item x="103"/>
        <item x="4"/>
        <item x="353"/>
        <item x="257"/>
        <item x="277"/>
        <item x="10"/>
        <item x="185"/>
        <item x="308"/>
        <item x="113"/>
        <item x="148"/>
        <item x="394"/>
        <item x="339"/>
        <item x="363"/>
        <item x="230"/>
        <item x="155"/>
        <item x="36"/>
        <item x="88"/>
        <item x="317"/>
        <item x="66"/>
        <item x="345"/>
        <item x="351"/>
        <item x="412"/>
        <item x="248"/>
        <item x="28"/>
        <item x="3"/>
        <item x="312"/>
        <item x="315"/>
        <item x="82"/>
        <item x="137"/>
        <item x="361"/>
        <item x="189"/>
        <item x="124"/>
        <item x="56"/>
        <item x="333"/>
        <item x="171"/>
        <item x="266"/>
        <item x="38"/>
        <item x="46"/>
        <item x="235"/>
        <item x="19"/>
        <item x="119"/>
        <item x="193"/>
        <item x="393"/>
        <item x="372"/>
        <item x="385"/>
        <item x="237"/>
        <item x="101"/>
        <item x="344"/>
        <item x="139"/>
        <item x="138"/>
        <item x="39"/>
        <item x="108"/>
        <item x="267"/>
        <item x="369"/>
        <item x="67"/>
        <item x="203"/>
        <item x="338"/>
        <item x="132"/>
        <item x="34"/>
        <item x="202"/>
        <item x="276"/>
        <item x="72"/>
        <item x="42"/>
        <item x="77"/>
        <item x="14"/>
        <item x="336"/>
        <item x="398"/>
        <item x="197"/>
        <item x="70"/>
        <item x="260"/>
        <item x="136"/>
        <item x="279"/>
        <item x="326"/>
        <item x="200"/>
        <item x="405"/>
        <item x="221"/>
        <item x="307"/>
        <item x="290"/>
        <item x="350"/>
        <item x="340"/>
        <item x="102"/>
        <item x="238"/>
        <item x="135"/>
        <item x="143"/>
        <item x="262"/>
        <item x="48"/>
        <item x="211"/>
        <item x="272"/>
        <item x="186"/>
        <item x="110"/>
        <item x="219"/>
        <item x="407"/>
        <item x="181"/>
        <item x="271"/>
        <item x="399"/>
        <item x="223"/>
        <item x="41"/>
        <item x="127"/>
        <item x="75"/>
        <item x="246"/>
        <item x="144"/>
        <item x="16"/>
        <item x="55"/>
        <item x="316"/>
        <item x="283"/>
        <item x="375"/>
        <item x="164"/>
        <item x="270"/>
        <item x="64"/>
        <item x="123"/>
        <item x="292"/>
        <item x="381"/>
        <item x="160"/>
        <item x="273"/>
        <item x="118"/>
        <item x="76"/>
        <item x="163"/>
        <item x="383"/>
        <item x="21"/>
        <item x="50"/>
        <item x="190"/>
        <item x="179"/>
        <item x="27"/>
        <item x="294"/>
        <item x="360"/>
        <item x="335"/>
        <item x="45"/>
        <item x="6"/>
        <item x="404"/>
        <item x="33"/>
        <item x="306"/>
        <item t="default"/>
      </items>
    </pivotField>
    <pivotField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Sum of Revenue"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8F5D2B8-453B-45BF-A53F-B58D52BFB92B}"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location ref="A48:B53" firstHeaderRow="1" firstDataRow="1" firstDataCol="1"/>
  <pivotFields count="16">
    <pivotField dataField="1" showAll="0">
      <items count="50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t="default"/>
      </items>
    </pivotField>
    <pivotField numFmtId="14" showAll="0"/>
    <pivotField axis="axisRow" showAll="0">
      <items count="6">
        <item x="2"/>
        <item x="1"/>
        <item x="3"/>
        <item x="4"/>
        <item x="0"/>
        <item t="default"/>
      </items>
    </pivotField>
    <pivotField showAll="0">
      <items count="18">
        <item x="1"/>
        <item x="6"/>
        <item x="15"/>
        <item x="3"/>
        <item x="2"/>
        <item x="5"/>
        <item x="16"/>
        <item x="4"/>
        <item x="13"/>
        <item x="11"/>
        <item x="7"/>
        <item x="10"/>
        <item x="12"/>
        <item x="14"/>
        <item x="9"/>
        <item x="8"/>
        <item x="0"/>
        <item t="default"/>
      </items>
    </pivotField>
    <pivotField showAll="0">
      <items count="415">
        <item x="289"/>
        <item x="251"/>
        <item x="410"/>
        <item x="403"/>
        <item x="368"/>
        <item x="281"/>
        <item x="357"/>
        <item x="168"/>
        <item x="126"/>
        <item x="98"/>
        <item x="396"/>
        <item x="222"/>
        <item x="115"/>
        <item x="180"/>
        <item x="176"/>
        <item x="157"/>
        <item x="187"/>
        <item x="318"/>
        <item x="218"/>
        <item x="166"/>
        <item x="52"/>
        <item x="195"/>
        <item x="358"/>
        <item x="129"/>
        <item x="243"/>
        <item x="53"/>
        <item x="293"/>
        <item x="208"/>
        <item x="12"/>
        <item x="305"/>
        <item x="215"/>
        <item x="68"/>
        <item x="177"/>
        <item x="25"/>
        <item x="259"/>
        <item x="170"/>
        <item x="2"/>
        <item x="252"/>
        <item x="183"/>
        <item x="313"/>
        <item x="29"/>
        <item x="278"/>
        <item x="413"/>
        <item x="37"/>
        <item x="35"/>
        <item x="367"/>
        <item x="349"/>
        <item x="258"/>
        <item x="178"/>
        <item x="366"/>
        <item x="297"/>
        <item x="255"/>
        <item x="153"/>
        <item x="61"/>
        <item x="331"/>
        <item x="5"/>
        <item x="13"/>
        <item x="364"/>
        <item x="409"/>
        <item x="232"/>
        <item x="97"/>
        <item x="20"/>
        <item x="47"/>
        <item x="253"/>
        <item x="247"/>
        <item x="320"/>
        <item x="152"/>
        <item x="83"/>
        <item x="217"/>
        <item x="226"/>
        <item x="78"/>
        <item x="380"/>
        <item x="301"/>
        <item x="96"/>
        <item x="145"/>
        <item x="142"/>
        <item x="268"/>
        <item x="265"/>
        <item x="92"/>
        <item x="287"/>
        <item x="23"/>
        <item x="65"/>
        <item x="111"/>
        <item x="59"/>
        <item x="377"/>
        <item x="400"/>
        <item x="242"/>
        <item x="71"/>
        <item x="201"/>
        <item x="0"/>
        <item x="406"/>
        <item x="62"/>
        <item x="87"/>
        <item x="274"/>
        <item x="204"/>
        <item x="89"/>
        <item x="93"/>
        <item x="80"/>
        <item x="327"/>
        <item x="167"/>
        <item x="117"/>
        <item x="128"/>
        <item x="332"/>
        <item x="212"/>
        <item x="191"/>
        <item x="18"/>
        <item x="348"/>
        <item x="154"/>
        <item x="387"/>
        <item x="245"/>
        <item x="395"/>
        <item x="334"/>
        <item x="125"/>
        <item x="131"/>
        <item x="234"/>
        <item x="241"/>
        <item x="233"/>
        <item x="194"/>
        <item x="120"/>
        <item x="182"/>
        <item x="352"/>
        <item x="90"/>
        <item x="57"/>
        <item x="324"/>
        <item x="95"/>
        <item x="91"/>
        <item x="296"/>
        <item x="397"/>
        <item x="321"/>
        <item x="329"/>
        <item x="220"/>
        <item x="376"/>
        <item x="225"/>
        <item x="175"/>
        <item x="227"/>
        <item x="109"/>
        <item x="378"/>
        <item x="275"/>
        <item x="84"/>
        <item x="319"/>
        <item x="44"/>
        <item x="264"/>
        <item x="116"/>
        <item x="355"/>
        <item x="192"/>
        <item x="104"/>
        <item x="359"/>
        <item x="85"/>
        <item x="99"/>
        <item x="147"/>
        <item x="130"/>
        <item x="341"/>
        <item x="174"/>
        <item x="228"/>
        <item x="229"/>
        <item x="40"/>
        <item x="401"/>
        <item x="302"/>
        <item x="216"/>
        <item x="239"/>
        <item x="69"/>
        <item x="236"/>
        <item x="337"/>
        <item x="342"/>
        <item x="114"/>
        <item x="199"/>
        <item x="86"/>
        <item x="284"/>
        <item x="11"/>
        <item x="214"/>
        <item x="354"/>
        <item x="373"/>
        <item x="365"/>
        <item x="169"/>
        <item x="356"/>
        <item x="362"/>
        <item x="386"/>
        <item x="140"/>
        <item x="374"/>
        <item x="224"/>
        <item x="310"/>
        <item x="205"/>
        <item x="149"/>
        <item x="298"/>
        <item x="402"/>
        <item x="184"/>
        <item x="105"/>
        <item x="161"/>
        <item x="371"/>
        <item x="240"/>
        <item x="54"/>
        <item x="172"/>
        <item x="188"/>
        <item x="314"/>
        <item x="213"/>
        <item x="121"/>
        <item x="311"/>
        <item x="49"/>
        <item x="30"/>
        <item x="391"/>
        <item x="384"/>
        <item x="282"/>
        <item x="288"/>
        <item x="8"/>
        <item x="26"/>
        <item x="51"/>
        <item x="107"/>
        <item x="60"/>
        <item x="22"/>
        <item x="31"/>
        <item x="150"/>
        <item x="244"/>
        <item x="122"/>
        <item x="343"/>
        <item x="280"/>
        <item x="291"/>
        <item x="231"/>
        <item x="250"/>
        <item x="207"/>
        <item x="309"/>
        <item x="106"/>
        <item x="63"/>
        <item x="151"/>
        <item x="323"/>
        <item x="210"/>
        <item x="100"/>
        <item x="411"/>
        <item x="15"/>
        <item x="389"/>
        <item x="146"/>
        <item x="249"/>
        <item x="388"/>
        <item x="330"/>
        <item x="196"/>
        <item x="303"/>
        <item x="256"/>
        <item x="269"/>
        <item x="295"/>
        <item x="285"/>
        <item x="141"/>
        <item x="382"/>
        <item x="254"/>
        <item x="390"/>
        <item x="206"/>
        <item x="173"/>
        <item x="165"/>
        <item x="17"/>
        <item x="299"/>
        <item x="32"/>
        <item x="133"/>
        <item x="408"/>
        <item x="286"/>
        <item x="300"/>
        <item x="261"/>
        <item x="112"/>
        <item x="392"/>
        <item x="79"/>
        <item x="162"/>
        <item x="73"/>
        <item x="346"/>
        <item x="158"/>
        <item x="379"/>
        <item x="1"/>
        <item x="156"/>
        <item x="159"/>
        <item x="263"/>
        <item x="43"/>
        <item x="7"/>
        <item x="304"/>
        <item x="9"/>
        <item x="134"/>
        <item x="209"/>
        <item x="322"/>
        <item x="325"/>
        <item x="370"/>
        <item x="81"/>
        <item x="58"/>
        <item x="328"/>
        <item x="198"/>
        <item x="347"/>
        <item x="94"/>
        <item x="74"/>
        <item x="24"/>
        <item x="103"/>
        <item x="4"/>
        <item x="353"/>
        <item x="257"/>
        <item x="277"/>
        <item x="10"/>
        <item x="185"/>
        <item x="308"/>
        <item x="113"/>
        <item x="148"/>
        <item x="394"/>
        <item x="339"/>
        <item x="363"/>
        <item x="230"/>
        <item x="155"/>
        <item x="36"/>
        <item x="88"/>
        <item x="317"/>
        <item x="66"/>
        <item x="345"/>
        <item x="351"/>
        <item x="412"/>
        <item x="248"/>
        <item x="28"/>
        <item x="3"/>
        <item x="312"/>
        <item x="315"/>
        <item x="82"/>
        <item x="137"/>
        <item x="361"/>
        <item x="189"/>
        <item x="124"/>
        <item x="56"/>
        <item x="333"/>
        <item x="171"/>
        <item x="266"/>
        <item x="38"/>
        <item x="46"/>
        <item x="235"/>
        <item x="19"/>
        <item x="119"/>
        <item x="193"/>
        <item x="393"/>
        <item x="372"/>
        <item x="385"/>
        <item x="237"/>
        <item x="101"/>
        <item x="344"/>
        <item x="139"/>
        <item x="138"/>
        <item x="39"/>
        <item x="108"/>
        <item x="267"/>
        <item x="369"/>
        <item x="67"/>
        <item x="203"/>
        <item x="338"/>
        <item x="132"/>
        <item x="34"/>
        <item x="202"/>
        <item x="276"/>
        <item x="72"/>
        <item x="42"/>
        <item x="77"/>
        <item x="14"/>
        <item x="336"/>
        <item x="398"/>
        <item x="197"/>
        <item x="70"/>
        <item x="260"/>
        <item x="136"/>
        <item x="279"/>
        <item x="326"/>
        <item x="200"/>
        <item x="405"/>
        <item x="221"/>
        <item x="307"/>
        <item x="290"/>
        <item x="350"/>
        <item x="340"/>
        <item x="102"/>
        <item x="238"/>
        <item x="135"/>
        <item x="143"/>
        <item x="262"/>
        <item x="48"/>
        <item x="211"/>
        <item x="272"/>
        <item x="186"/>
        <item x="110"/>
        <item x="219"/>
        <item x="407"/>
        <item x="181"/>
        <item x="271"/>
        <item x="399"/>
        <item x="223"/>
        <item x="41"/>
        <item x="127"/>
        <item x="75"/>
        <item x="246"/>
        <item x="144"/>
        <item x="16"/>
        <item x="55"/>
        <item x="316"/>
        <item x="283"/>
        <item x="375"/>
        <item x="164"/>
        <item x="270"/>
        <item x="64"/>
        <item x="123"/>
        <item x="292"/>
        <item x="381"/>
        <item x="160"/>
        <item x="273"/>
        <item x="118"/>
        <item x="76"/>
        <item x="163"/>
        <item x="383"/>
        <item x="21"/>
        <item x="50"/>
        <item x="190"/>
        <item x="179"/>
        <item x="27"/>
        <item x="294"/>
        <item x="360"/>
        <item x="335"/>
        <item x="45"/>
        <item x="6"/>
        <item x="404"/>
        <item x="33"/>
        <item x="306"/>
        <item t="default"/>
      </items>
    </pivotField>
    <pivotField showAll="0"/>
    <pivotField showAll="0"/>
    <pivotField showAll="0"/>
    <pivotField showAll="0"/>
    <pivotField showAll="0"/>
    <pivotField showAll="0"/>
    <pivotField showAll="0"/>
    <pivotField showAll="0"/>
    <pivotField showAll="0"/>
    <pivotField showAll="0"/>
    <pivotField showAll="0">
      <items count="5">
        <item x="0"/>
        <item x="3"/>
        <item x="2"/>
        <item x="1"/>
        <item t="default"/>
      </items>
    </pivotField>
  </pivotFields>
  <rowFields count="1">
    <field x="2"/>
  </rowFields>
  <rowItems count="5">
    <i>
      <x/>
    </i>
    <i>
      <x v="1"/>
    </i>
    <i>
      <x v="2"/>
    </i>
    <i>
      <x v="3"/>
    </i>
    <i>
      <x v="4"/>
    </i>
  </rowItems>
  <colItems count="1">
    <i/>
  </colItems>
  <dataFields count="1">
    <dataField name="Count of Movie Title" fld="0" subtotal="count" baseField="0" baseItem="0" numFmtId="1"/>
  </dataFields>
  <formats count="1">
    <format dxfId="9">
      <pivotArea outline="0" collapsedLevelsAreSubtotals="1" fieldPosition="0"/>
    </format>
  </formats>
  <chartFormats count="3">
    <chartFormat chart="17" format="2" series="1">
      <pivotArea type="data" outline="0" fieldPosition="0">
        <references count="1">
          <reference field="4294967294" count="1" selected="0">
            <x v="0"/>
          </reference>
        </references>
      </pivotArea>
    </chartFormat>
    <chartFormat chart="17" format="3">
      <pivotArea type="data" outline="0" fieldPosition="0">
        <references count="2">
          <reference field="4294967294" count="1" selected="0">
            <x v="0"/>
          </reference>
          <reference field="2" count="1" selected="0">
            <x v="1"/>
          </reference>
        </references>
      </pivotArea>
    </chartFormat>
    <chartFormat chart="17" format="4">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3BBA2F1-41DE-42F2-B495-FAC3B253D4CD}" name="Total movi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6">
    <pivotField dataField="1" showAll="0"/>
    <pivotField numFmtId="14" showAll="0"/>
    <pivotField showAll="0">
      <items count="6">
        <item x="2"/>
        <item x="1"/>
        <item x="3"/>
        <item x="4"/>
        <item x="0"/>
        <item t="default"/>
      </items>
    </pivotField>
    <pivotField showAll="0">
      <items count="18">
        <item x="1"/>
        <item x="6"/>
        <item x="15"/>
        <item x="3"/>
        <item x="2"/>
        <item x="5"/>
        <item x="16"/>
        <item x="4"/>
        <item x="13"/>
        <item x="11"/>
        <item x="7"/>
        <item x="10"/>
        <item x="12"/>
        <item x="14"/>
        <item x="9"/>
        <item x="8"/>
        <item x="0"/>
        <item t="default"/>
      </items>
    </pivotField>
    <pivotField showAll="0">
      <items count="415">
        <item x="289"/>
        <item x="251"/>
        <item x="410"/>
        <item x="403"/>
        <item x="368"/>
        <item x="281"/>
        <item x="357"/>
        <item x="168"/>
        <item x="126"/>
        <item x="98"/>
        <item x="396"/>
        <item x="222"/>
        <item x="115"/>
        <item x="180"/>
        <item x="176"/>
        <item x="157"/>
        <item x="187"/>
        <item x="318"/>
        <item x="218"/>
        <item x="166"/>
        <item x="52"/>
        <item x="195"/>
        <item x="358"/>
        <item x="129"/>
        <item x="243"/>
        <item x="53"/>
        <item x="293"/>
        <item x="208"/>
        <item x="12"/>
        <item x="305"/>
        <item x="215"/>
        <item x="68"/>
        <item x="177"/>
        <item x="25"/>
        <item x="259"/>
        <item x="170"/>
        <item x="2"/>
        <item x="252"/>
        <item x="183"/>
        <item x="313"/>
        <item x="29"/>
        <item x="278"/>
        <item x="413"/>
        <item x="37"/>
        <item x="35"/>
        <item x="367"/>
        <item x="349"/>
        <item x="258"/>
        <item x="178"/>
        <item x="366"/>
        <item x="297"/>
        <item x="255"/>
        <item x="153"/>
        <item x="61"/>
        <item x="331"/>
        <item x="5"/>
        <item x="13"/>
        <item x="364"/>
        <item x="409"/>
        <item x="232"/>
        <item x="97"/>
        <item x="20"/>
        <item x="47"/>
        <item x="253"/>
        <item x="247"/>
        <item x="320"/>
        <item x="152"/>
        <item x="83"/>
        <item x="217"/>
        <item x="226"/>
        <item x="78"/>
        <item x="380"/>
        <item x="301"/>
        <item x="96"/>
        <item x="145"/>
        <item x="142"/>
        <item x="268"/>
        <item x="265"/>
        <item x="92"/>
        <item x="287"/>
        <item x="23"/>
        <item x="65"/>
        <item x="111"/>
        <item x="59"/>
        <item x="377"/>
        <item x="400"/>
        <item x="242"/>
        <item x="71"/>
        <item x="201"/>
        <item x="0"/>
        <item x="406"/>
        <item x="62"/>
        <item x="87"/>
        <item x="274"/>
        <item x="204"/>
        <item x="89"/>
        <item x="93"/>
        <item x="80"/>
        <item x="327"/>
        <item x="167"/>
        <item x="117"/>
        <item x="128"/>
        <item x="332"/>
        <item x="212"/>
        <item x="191"/>
        <item x="18"/>
        <item x="348"/>
        <item x="154"/>
        <item x="387"/>
        <item x="245"/>
        <item x="395"/>
        <item x="334"/>
        <item x="125"/>
        <item x="131"/>
        <item x="234"/>
        <item x="241"/>
        <item x="233"/>
        <item x="194"/>
        <item x="120"/>
        <item x="182"/>
        <item x="352"/>
        <item x="90"/>
        <item x="57"/>
        <item x="324"/>
        <item x="95"/>
        <item x="91"/>
        <item x="296"/>
        <item x="397"/>
        <item x="321"/>
        <item x="329"/>
        <item x="220"/>
        <item x="376"/>
        <item x="225"/>
        <item x="175"/>
        <item x="227"/>
        <item x="109"/>
        <item x="378"/>
        <item x="275"/>
        <item x="84"/>
        <item x="319"/>
        <item x="44"/>
        <item x="264"/>
        <item x="116"/>
        <item x="355"/>
        <item x="192"/>
        <item x="104"/>
        <item x="359"/>
        <item x="85"/>
        <item x="99"/>
        <item x="147"/>
        <item x="130"/>
        <item x="341"/>
        <item x="174"/>
        <item x="228"/>
        <item x="229"/>
        <item x="40"/>
        <item x="401"/>
        <item x="302"/>
        <item x="216"/>
        <item x="239"/>
        <item x="69"/>
        <item x="236"/>
        <item x="337"/>
        <item x="342"/>
        <item x="114"/>
        <item x="199"/>
        <item x="86"/>
        <item x="284"/>
        <item x="11"/>
        <item x="214"/>
        <item x="354"/>
        <item x="373"/>
        <item x="365"/>
        <item x="169"/>
        <item x="356"/>
        <item x="362"/>
        <item x="386"/>
        <item x="140"/>
        <item x="374"/>
        <item x="224"/>
        <item x="310"/>
        <item x="205"/>
        <item x="149"/>
        <item x="298"/>
        <item x="402"/>
        <item x="184"/>
        <item x="105"/>
        <item x="161"/>
        <item x="371"/>
        <item x="240"/>
        <item x="54"/>
        <item x="172"/>
        <item x="188"/>
        <item x="314"/>
        <item x="213"/>
        <item x="121"/>
        <item x="311"/>
        <item x="49"/>
        <item x="30"/>
        <item x="391"/>
        <item x="384"/>
        <item x="282"/>
        <item x="288"/>
        <item x="8"/>
        <item x="26"/>
        <item x="51"/>
        <item x="107"/>
        <item x="60"/>
        <item x="22"/>
        <item x="31"/>
        <item x="150"/>
        <item x="244"/>
        <item x="122"/>
        <item x="343"/>
        <item x="280"/>
        <item x="291"/>
        <item x="231"/>
        <item x="250"/>
        <item x="207"/>
        <item x="309"/>
        <item x="106"/>
        <item x="63"/>
        <item x="151"/>
        <item x="323"/>
        <item x="210"/>
        <item x="100"/>
        <item x="411"/>
        <item x="15"/>
        <item x="389"/>
        <item x="146"/>
        <item x="249"/>
        <item x="388"/>
        <item x="330"/>
        <item x="196"/>
        <item x="303"/>
        <item x="256"/>
        <item x="269"/>
        <item x="295"/>
        <item x="285"/>
        <item x="141"/>
        <item x="382"/>
        <item x="254"/>
        <item x="390"/>
        <item x="206"/>
        <item x="173"/>
        <item x="165"/>
        <item x="17"/>
        <item x="299"/>
        <item x="32"/>
        <item x="133"/>
        <item x="408"/>
        <item x="286"/>
        <item x="300"/>
        <item x="261"/>
        <item x="112"/>
        <item x="392"/>
        <item x="79"/>
        <item x="162"/>
        <item x="73"/>
        <item x="346"/>
        <item x="158"/>
        <item x="379"/>
        <item x="1"/>
        <item x="156"/>
        <item x="159"/>
        <item x="263"/>
        <item x="43"/>
        <item x="7"/>
        <item x="304"/>
        <item x="9"/>
        <item x="134"/>
        <item x="209"/>
        <item x="322"/>
        <item x="325"/>
        <item x="370"/>
        <item x="81"/>
        <item x="58"/>
        <item x="328"/>
        <item x="198"/>
        <item x="347"/>
        <item x="94"/>
        <item x="74"/>
        <item x="24"/>
        <item x="103"/>
        <item x="4"/>
        <item x="353"/>
        <item x="257"/>
        <item x="277"/>
        <item x="10"/>
        <item x="185"/>
        <item x="308"/>
        <item x="113"/>
        <item x="148"/>
        <item x="394"/>
        <item x="339"/>
        <item x="363"/>
        <item x="230"/>
        <item x="155"/>
        <item x="36"/>
        <item x="88"/>
        <item x="317"/>
        <item x="66"/>
        <item x="345"/>
        <item x="351"/>
        <item x="412"/>
        <item x="248"/>
        <item x="28"/>
        <item x="3"/>
        <item x="312"/>
        <item x="315"/>
        <item x="82"/>
        <item x="137"/>
        <item x="361"/>
        <item x="189"/>
        <item x="124"/>
        <item x="56"/>
        <item x="333"/>
        <item x="171"/>
        <item x="266"/>
        <item x="38"/>
        <item x="46"/>
        <item x="235"/>
        <item x="19"/>
        <item x="119"/>
        <item x="193"/>
        <item x="393"/>
        <item x="372"/>
        <item x="385"/>
        <item x="237"/>
        <item x="101"/>
        <item x="344"/>
        <item x="139"/>
        <item x="138"/>
        <item x="39"/>
        <item x="108"/>
        <item x="267"/>
        <item x="369"/>
        <item x="67"/>
        <item x="203"/>
        <item x="338"/>
        <item x="132"/>
        <item x="34"/>
        <item x="202"/>
        <item x="276"/>
        <item x="72"/>
        <item x="42"/>
        <item x="77"/>
        <item x="14"/>
        <item x="336"/>
        <item x="398"/>
        <item x="197"/>
        <item x="70"/>
        <item x="260"/>
        <item x="136"/>
        <item x="279"/>
        <item x="326"/>
        <item x="200"/>
        <item x="405"/>
        <item x="221"/>
        <item x="307"/>
        <item x="290"/>
        <item x="350"/>
        <item x="340"/>
        <item x="102"/>
        <item x="238"/>
        <item x="135"/>
        <item x="143"/>
        <item x="262"/>
        <item x="48"/>
        <item x="211"/>
        <item x="272"/>
        <item x="186"/>
        <item x="110"/>
        <item x="219"/>
        <item x="407"/>
        <item x="181"/>
        <item x="271"/>
        <item x="399"/>
        <item x="223"/>
        <item x="41"/>
        <item x="127"/>
        <item x="75"/>
        <item x="246"/>
        <item x="144"/>
        <item x="16"/>
        <item x="55"/>
        <item x="316"/>
        <item x="283"/>
        <item x="375"/>
        <item x="164"/>
        <item x="270"/>
        <item x="64"/>
        <item x="123"/>
        <item x="292"/>
        <item x="381"/>
        <item x="160"/>
        <item x="273"/>
        <item x="118"/>
        <item x="76"/>
        <item x="163"/>
        <item x="383"/>
        <item x="21"/>
        <item x="50"/>
        <item x="190"/>
        <item x="179"/>
        <item x="27"/>
        <item x="294"/>
        <item x="360"/>
        <item x="335"/>
        <item x="45"/>
        <item x="6"/>
        <item x="404"/>
        <item x="33"/>
        <item x="306"/>
        <item t="default"/>
      </items>
    </pivotField>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Movie Titl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CCAE54A-1393-4EBB-BE63-395AF1A3C361}" autoFormatId="16" applyNumberFormats="0" applyBorderFormats="0" applyFontFormats="0" applyPatternFormats="0" applyAlignmentFormats="0" applyWidthHeightFormats="0">
  <queryTableRefresh nextId="17">
    <queryTableFields count="16">
      <queryTableField id="1" name="Movie Title" tableColumnId="1"/>
      <queryTableField id="2" name="Release Date" tableColumnId="2"/>
      <queryTableField id="3" name="Year" tableColumnId="3"/>
      <queryTableField id="4" name="Genre" tableColumnId="4"/>
      <queryTableField id="5" name="Director (1)" tableColumnId="5"/>
      <queryTableField id="6" name="Director (2)" tableColumnId="6"/>
      <queryTableField id="7" name="Cast (1)" tableColumnId="7"/>
      <queryTableField id="8" name="Cast (2)" tableColumnId="8"/>
      <queryTableField id="9" name="Cast (3)" tableColumnId="9"/>
      <queryTableField id="10" name="Cast (4)" tableColumnId="10"/>
      <queryTableField id="11" name="Cast (5)" tableColumnId="11"/>
      <queryTableField id="12" name="Budget " tableColumnId="12"/>
      <queryTableField id="13" name="Revenue" tableColumnId="13"/>
      <queryTableField id="14" name="Profit" tableColumnId="14"/>
      <queryTableField id="15" name="ROI%" tableColumnId="15"/>
      <queryTableField id="16" name="Movie_Status"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30851DC-884F-4E89-A2D4-938D348DD62F}" sourceName="Year">
  <pivotTables>
    <pivotTable tabId="3" name="PivotTable16"/>
    <pivotTable tabId="3" name="Profit"/>
    <pivotTable tabId="3" name="REvenue"/>
    <pivotTable tabId="3" name="ROI"/>
    <pivotTable tabId="3" name="TOP 10 Revenue"/>
    <pivotTable tabId="3" name="Total movies"/>
  </pivotTables>
  <data>
    <tabular pivotCacheId="1120291823">
      <items count="5">
        <i x="2" s="1"/>
        <i x="1" s="1"/>
        <i x="3"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rector__1" xr10:uid="{CA56DEF6-86E4-4D1A-96E2-A36A661514B2}" sourceName="Director (1)">
  <pivotTables>
    <pivotTable tabId="3" name="Profit"/>
    <pivotTable tabId="3" name="REvenue"/>
    <pivotTable tabId="3" name="Total movies"/>
    <pivotTable tabId="3" name="ROI"/>
  </pivotTables>
  <data>
    <tabular pivotCacheId="1120291823">
      <items count="414">
        <i x="289" s="1"/>
        <i x="251" s="1"/>
        <i x="410" s="1"/>
        <i x="403" s="1"/>
        <i x="368" s="1"/>
        <i x="281" s="1"/>
        <i x="357" s="1"/>
        <i x="168" s="1"/>
        <i x="126" s="1"/>
        <i x="98" s="1"/>
        <i x="396" s="1"/>
        <i x="222" s="1"/>
        <i x="115" s="1"/>
        <i x="180" s="1"/>
        <i x="176" s="1"/>
        <i x="157" s="1"/>
        <i x="187" s="1"/>
        <i x="318" s="1"/>
        <i x="218" s="1"/>
        <i x="166" s="1"/>
        <i x="52" s="1"/>
        <i x="195" s="1"/>
        <i x="358" s="1"/>
        <i x="129" s="1"/>
        <i x="243" s="1"/>
        <i x="53" s="1"/>
        <i x="293" s="1"/>
        <i x="208" s="1"/>
        <i x="12" s="1"/>
        <i x="305" s="1"/>
        <i x="215" s="1"/>
        <i x="68" s="1"/>
        <i x="177" s="1"/>
        <i x="25" s="1"/>
        <i x="259" s="1"/>
        <i x="170" s="1"/>
        <i x="2" s="1"/>
        <i x="252" s="1"/>
        <i x="183" s="1"/>
        <i x="313" s="1"/>
        <i x="29" s="1"/>
        <i x="278" s="1"/>
        <i x="413" s="1"/>
        <i x="37" s="1"/>
        <i x="35" s="1"/>
        <i x="367" s="1"/>
        <i x="349" s="1"/>
        <i x="258" s="1"/>
        <i x="178" s="1"/>
        <i x="366" s="1"/>
        <i x="297" s="1"/>
        <i x="255" s="1"/>
        <i x="153" s="1"/>
        <i x="61" s="1"/>
        <i x="331" s="1"/>
        <i x="5" s="1"/>
        <i x="13" s="1"/>
        <i x="364" s="1"/>
        <i x="409" s="1"/>
        <i x="232" s="1"/>
        <i x="97" s="1"/>
        <i x="20" s="1"/>
        <i x="47" s="1"/>
        <i x="253" s="1"/>
        <i x="247" s="1"/>
        <i x="320" s="1"/>
        <i x="152" s="1"/>
        <i x="83" s="1"/>
        <i x="217" s="1"/>
        <i x="226" s="1"/>
        <i x="78" s="1"/>
        <i x="380" s="1"/>
        <i x="301" s="1"/>
        <i x="96" s="1"/>
        <i x="145" s="1"/>
        <i x="142" s="1"/>
        <i x="268" s="1"/>
        <i x="265" s="1"/>
        <i x="92" s="1"/>
        <i x="287" s="1"/>
        <i x="23" s="1"/>
        <i x="65" s="1"/>
        <i x="111" s="1"/>
        <i x="59" s="1"/>
        <i x="377" s="1"/>
        <i x="400" s="1"/>
        <i x="242" s="1"/>
        <i x="71" s="1"/>
        <i x="201" s="1"/>
        <i x="0" s="1"/>
        <i x="406" s="1"/>
        <i x="62" s="1"/>
        <i x="87" s="1"/>
        <i x="274" s="1"/>
        <i x="204" s="1"/>
        <i x="89" s="1"/>
        <i x="93" s="1"/>
        <i x="80" s="1"/>
        <i x="327" s="1"/>
        <i x="167" s="1"/>
        <i x="117" s="1"/>
        <i x="128" s="1"/>
        <i x="332" s="1"/>
        <i x="212" s="1"/>
        <i x="191" s="1"/>
        <i x="18" s="1"/>
        <i x="348" s="1"/>
        <i x="154" s="1"/>
        <i x="387" s="1"/>
        <i x="245" s="1"/>
        <i x="395" s="1"/>
        <i x="334" s="1"/>
        <i x="125" s="1"/>
        <i x="131" s="1"/>
        <i x="234" s="1"/>
        <i x="241" s="1"/>
        <i x="233" s="1"/>
        <i x="194" s="1"/>
        <i x="120" s="1"/>
        <i x="182" s="1"/>
        <i x="352" s="1"/>
        <i x="90" s="1"/>
        <i x="57" s="1"/>
        <i x="324" s="1"/>
        <i x="95" s="1"/>
        <i x="91" s="1"/>
        <i x="296" s="1"/>
        <i x="397" s="1"/>
        <i x="321" s="1"/>
        <i x="329" s="1"/>
        <i x="220" s="1"/>
        <i x="376" s="1"/>
        <i x="225" s="1"/>
        <i x="175" s="1"/>
        <i x="227" s="1"/>
        <i x="109" s="1"/>
        <i x="378" s="1"/>
        <i x="275" s="1"/>
        <i x="84" s="1"/>
        <i x="319" s="1"/>
        <i x="44" s="1"/>
        <i x="264" s="1"/>
        <i x="116" s="1"/>
        <i x="355" s="1"/>
        <i x="192" s="1"/>
        <i x="104" s="1"/>
        <i x="359" s="1"/>
        <i x="85" s="1"/>
        <i x="99" s="1"/>
        <i x="147" s="1"/>
        <i x="130" s="1"/>
        <i x="341" s="1"/>
        <i x="174" s="1"/>
        <i x="228" s="1"/>
        <i x="229" s="1"/>
        <i x="40" s="1"/>
        <i x="401" s="1"/>
        <i x="302" s="1"/>
        <i x="216" s="1"/>
        <i x="239" s="1"/>
        <i x="69" s="1"/>
        <i x="236" s="1"/>
        <i x="337" s="1"/>
        <i x="342" s="1"/>
        <i x="114" s="1"/>
        <i x="199" s="1"/>
        <i x="86" s="1"/>
        <i x="284" s="1"/>
        <i x="11" s="1"/>
        <i x="214" s="1"/>
        <i x="354" s="1"/>
        <i x="373" s="1"/>
        <i x="365" s="1"/>
        <i x="169" s="1"/>
        <i x="356" s="1"/>
        <i x="362" s="1"/>
        <i x="386" s="1"/>
        <i x="140" s="1"/>
        <i x="374" s="1"/>
        <i x="224" s="1"/>
        <i x="310" s="1"/>
        <i x="205" s="1"/>
        <i x="149" s="1"/>
        <i x="298" s="1"/>
        <i x="402" s="1"/>
        <i x="184" s="1"/>
        <i x="105" s="1"/>
        <i x="161" s="1"/>
        <i x="371" s="1"/>
        <i x="240" s="1"/>
        <i x="54" s="1"/>
        <i x="172" s="1"/>
        <i x="188" s="1"/>
        <i x="314" s="1"/>
        <i x="213" s="1"/>
        <i x="121" s="1"/>
        <i x="311" s="1"/>
        <i x="49" s="1"/>
        <i x="30" s="1"/>
        <i x="391" s="1"/>
        <i x="384" s="1"/>
        <i x="282" s="1"/>
        <i x="288" s="1"/>
        <i x="8" s="1"/>
        <i x="26" s="1"/>
        <i x="51" s="1"/>
        <i x="107" s="1"/>
        <i x="60" s="1"/>
        <i x="22" s="1"/>
        <i x="31" s="1"/>
        <i x="150" s="1"/>
        <i x="244" s="1"/>
        <i x="122" s="1"/>
        <i x="343" s="1"/>
        <i x="280" s="1"/>
        <i x="291" s="1"/>
        <i x="231" s="1"/>
        <i x="250" s="1"/>
        <i x="207" s="1"/>
        <i x="309" s="1"/>
        <i x="106" s="1"/>
        <i x="63" s="1"/>
        <i x="151" s="1"/>
        <i x="323" s="1"/>
        <i x="210" s="1"/>
        <i x="100" s="1"/>
        <i x="411" s="1"/>
        <i x="15" s="1"/>
        <i x="389" s="1"/>
        <i x="146" s="1"/>
        <i x="249" s="1"/>
        <i x="388" s="1"/>
        <i x="330" s="1"/>
        <i x="196" s="1"/>
        <i x="303" s="1"/>
        <i x="256" s="1"/>
        <i x="269" s="1"/>
        <i x="295" s="1"/>
        <i x="285" s="1"/>
        <i x="141" s="1"/>
        <i x="382" s="1"/>
        <i x="254" s="1"/>
        <i x="390" s="1"/>
        <i x="206" s="1"/>
        <i x="173" s="1"/>
        <i x="165" s="1"/>
        <i x="17" s="1"/>
        <i x="299" s="1"/>
        <i x="32" s="1"/>
        <i x="133" s="1"/>
        <i x="408" s="1"/>
        <i x="286" s="1"/>
        <i x="300" s="1"/>
        <i x="261" s="1"/>
        <i x="112" s="1"/>
        <i x="392" s="1"/>
        <i x="79" s="1"/>
        <i x="162" s="1"/>
        <i x="73" s="1"/>
        <i x="346" s="1"/>
        <i x="158" s="1"/>
        <i x="379" s="1"/>
        <i x="1" s="1"/>
        <i x="156" s="1"/>
        <i x="159" s="1"/>
        <i x="263" s="1"/>
        <i x="43" s="1"/>
        <i x="7" s="1"/>
        <i x="304" s="1"/>
        <i x="9" s="1"/>
        <i x="134" s="1"/>
        <i x="209" s="1"/>
        <i x="322" s="1"/>
        <i x="325" s="1"/>
        <i x="370" s="1"/>
        <i x="81" s="1"/>
        <i x="58" s="1"/>
        <i x="328" s="1"/>
        <i x="198" s="1"/>
        <i x="347" s="1"/>
        <i x="94" s="1"/>
        <i x="74" s="1"/>
        <i x="24" s="1"/>
        <i x="103" s="1"/>
        <i x="4" s="1"/>
        <i x="353" s="1"/>
        <i x="257" s="1"/>
        <i x="277" s="1"/>
        <i x="10" s="1"/>
        <i x="185" s="1"/>
        <i x="308" s="1"/>
        <i x="113" s="1"/>
        <i x="148" s="1"/>
        <i x="394" s="1"/>
        <i x="339" s="1"/>
        <i x="363" s="1"/>
        <i x="230" s="1"/>
        <i x="155" s="1"/>
        <i x="36" s="1"/>
        <i x="88" s="1"/>
        <i x="317" s="1"/>
        <i x="66" s="1"/>
        <i x="345" s="1"/>
        <i x="351" s="1"/>
        <i x="412" s="1"/>
        <i x="248" s="1"/>
        <i x="28" s="1"/>
        <i x="3" s="1"/>
        <i x="312" s="1"/>
        <i x="315" s="1"/>
        <i x="82" s="1"/>
        <i x="137" s="1"/>
        <i x="361" s="1"/>
        <i x="189" s="1"/>
        <i x="124" s="1"/>
        <i x="56" s="1"/>
        <i x="333" s="1"/>
        <i x="171" s="1"/>
        <i x="266" s="1"/>
        <i x="38" s="1"/>
        <i x="46" s="1"/>
        <i x="235" s="1"/>
        <i x="19" s="1"/>
        <i x="119" s="1"/>
        <i x="193" s="1"/>
        <i x="393" s="1"/>
        <i x="372" s="1"/>
        <i x="385" s="1"/>
        <i x="237" s="1"/>
        <i x="101" s="1"/>
        <i x="344" s="1"/>
        <i x="139" s="1"/>
        <i x="138" s="1"/>
        <i x="39" s="1"/>
        <i x="108" s="1"/>
        <i x="267" s="1"/>
        <i x="369" s="1"/>
        <i x="67" s="1"/>
        <i x="203" s="1"/>
        <i x="338" s="1"/>
        <i x="132" s="1"/>
        <i x="34" s="1"/>
        <i x="202" s="1"/>
        <i x="276" s="1"/>
        <i x="72" s="1"/>
        <i x="42" s="1"/>
        <i x="77" s="1"/>
        <i x="14" s="1"/>
        <i x="336" s="1"/>
        <i x="398" s="1"/>
        <i x="197" s="1"/>
        <i x="70" s="1"/>
        <i x="260" s="1"/>
        <i x="136" s="1"/>
        <i x="279" s="1"/>
        <i x="326" s="1"/>
        <i x="200" s="1"/>
        <i x="405" s="1"/>
        <i x="221" s="1"/>
        <i x="307" s="1"/>
        <i x="290" s="1"/>
        <i x="350" s="1"/>
        <i x="340" s="1"/>
        <i x="102" s="1"/>
        <i x="238" s="1"/>
        <i x="135" s="1"/>
        <i x="143" s="1"/>
        <i x="262" s="1"/>
        <i x="48" s="1"/>
        <i x="211" s="1"/>
        <i x="272" s="1"/>
        <i x="186" s="1"/>
        <i x="110" s="1"/>
        <i x="219" s="1"/>
        <i x="407" s="1"/>
        <i x="181" s="1"/>
        <i x="271" s="1"/>
        <i x="399" s="1"/>
        <i x="223" s="1"/>
        <i x="41" s="1"/>
        <i x="127" s="1"/>
        <i x="75" s="1"/>
        <i x="246" s="1"/>
        <i x="144" s="1"/>
        <i x="16" s="1"/>
        <i x="55" s="1"/>
        <i x="316" s="1"/>
        <i x="283" s="1"/>
        <i x="375" s="1"/>
        <i x="164" s="1"/>
        <i x="270" s="1"/>
        <i x="64" s="1"/>
        <i x="123" s="1"/>
        <i x="292" s="1"/>
        <i x="381" s="1"/>
        <i x="160" s="1"/>
        <i x="273" s="1"/>
        <i x="118" s="1"/>
        <i x="76" s="1"/>
        <i x="163" s="1"/>
        <i x="383" s="1"/>
        <i x="21" s="1"/>
        <i x="50" s="1"/>
        <i x="190" s="1"/>
        <i x="179" s="1"/>
        <i x="27" s="1"/>
        <i x="294" s="1"/>
        <i x="360" s="1"/>
        <i x="335" s="1"/>
        <i x="45" s="1"/>
        <i x="6" s="1"/>
        <i x="404" s="1"/>
        <i x="33" s="1"/>
        <i x="30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vie_Title" xr10:uid="{9598D90B-021B-426A-B073-EC2F48A26A4C}" sourceName="Movie Title">
  <pivotTables>
    <pivotTable tabId="3" name="PivotTable16"/>
    <pivotTable tabId="3" name="Profit"/>
    <pivotTable tabId="3" name="REvenue"/>
    <pivotTable tabId="3" name="ROI"/>
  </pivotTables>
  <data>
    <tabular pivotCacheId="1120291823">
      <items count="508">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218" s="1"/>
        <i x="219" s="1"/>
        <i x="220" s="1"/>
        <i x="221" s="1"/>
        <i x="222" s="1"/>
        <i x="223" s="1"/>
        <i x="224" s="1"/>
        <i x="225" s="1"/>
        <i x="226" s="1"/>
        <i x="227" s="1"/>
        <i x="228" s="1"/>
        <i x="229" s="1"/>
        <i x="230" s="1"/>
        <i x="231" s="1"/>
        <i x="232" s="1"/>
        <i x="233" s="1"/>
        <i x="234" s="1"/>
        <i x="235" s="1"/>
        <i x="236" s="1"/>
        <i x="237" s="1"/>
        <i x="238" s="1"/>
        <i x="239" s="1"/>
        <i x="240" s="1"/>
        <i x="241" s="1"/>
        <i x="242" s="1"/>
        <i x="243" s="1"/>
        <i x="244" s="1"/>
        <i x="245" s="1"/>
        <i x="246" s="1"/>
        <i x="247" s="1"/>
        <i x="248" s="1"/>
        <i x="249" s="1"/>
        <i x="250" s="1"/>
        <i x="251" s="1"/>
        <i x="252" s="1"/>
        <i x="253" s="1"/>
        <i x="254" s="1"/>
        <i x="255" s="1"/>
        <i x="256" s="1"/>
        <i x="257" s="1"/>
        <i x="258" s="1"/>
        <i x="259" s="1"/>
        <i x="260" s="1"/>
        <i x="261" s="1"/>
        <i x="262" s="1"/>
        <i x="263" s="1"/>
        <i x="264" s="1"/>
        <i x="265" s="1"/>
        <i x="266" s="1"/>
        <i x="267" s="1"/>
        <i x="268" s="1"/>
        <i x="269" s="1"/>
        <i x="270" s="1"/>
        <i x="271" s="1"/>
        <i x="272" s="1"/>
        <i x="273" s="1"/>
        <i x="274" s="1"/>
        <i x="275" s="1"/>
        <i x="276" s="1"/>
        <i x="277" s="1"/>
        <i x="278" s="1"/>
        <i x="279" s="1"/>
        <i x="280" s="1"/>
        <i x="281" s="1"/>
        <i x="282" s="1"/>
        <i x="283" s="1"/>
        <i x="284" s="1"/>
        <i x="285" s="1"/>
        <i x="286" s="1"/>
        <i x="287" s="1"/>
        <i x="288" s="1"/>
        <i x="289" s="1"/>
        <i x="290" s="1"/>
        <i x="291" s="1"/>
        <i x="292" s="1"/>
        <i x="293" s="1"/>
        <i x="294" s="1"/>
        <i x="295" s="1"/>
        <i x="296" s="1"/>
        <i x="297" s="1"/>
        <i x="298" s="1"/>
        <i x="299" s="1"/>
        <i x="300" s="1"/>
        <i x="301" s="1"/>
        <i x="302" s="1"/>
        <i x="303" s="1"/>
        <i x="304" s="1"/>
        <i x="305" s="1"/>
        <i x="306" s="1"/>
        <i x="307" s="1"/>
        <i x="308" s="1"/>
        <i x="309" s="1"/>
        <i x="310" s="1"/>
        <i x="311" s="1"/>
        <i x="312" s="1"/>
        <i x="313" s="1"/>
        <i x="314" s="1"/>
        <i x="315" s="1"/>
        <i x="316" s="1"/>
        <i x="317" s="1"/>
        <i x="318" s="1"/>
        <i x="319" s="1"/>
        <i x="320" s="1"/>
        <i x="321" s="1"/>
        <i x="322" s="1"/>
        <i x="323" s="1"/>
        <i x="324" s="1"/>
        <i x="325" s="1"/>
        <i x="326" s="1"/>
        <i x="327" s="1"/>
        <i x="328" s="1"/>
        <i x="329" s="1"/>
        <i x="330" s="1"/>
        <i x="331" s="1"/>
        <i x="332" s="1"/>
        <i x="333" s="1"/>
        <i x="334" s="1"/>
        <i x="335" s="1"/>
        <i x="336" s="1"/>
        <i x="337" s="1"/>
        <i x="338" s="1"/>
        <i x="339" s="1"/>
        <i x="340" s="1"/>
        <i x="341" s="1"/>
        <i x="342" s="1"/>
        <i x="343" s="1"/>
        <i x="344" s="1"/>
        <i x="345" s="1"/>
        <i x="346" s="1"/>
        <i x="347" s="1"/>
        <i x="348" s="1"/>
        <i x="349" s="1"/>
        <i x="350" s="1"/>
        <i x="351" s="1"/>
        <i x="352" s="1"/>
        <i x="353" s="1"/>
        <i x="354" s="1"/>
        <i x="355" s="1"/>
        <i x="356" s="1"/>
        <i x="357" s="1"/>
        <i x="358" s="1"/>
        <i x="359" s="1"/>
        <i x="360" s="1"/>
        <i x="361" s="1"/>
        <i x="362" s="1"/>
        <i x="363" s="1"/>
        <i x="364" s="1"/>
        <i x="365" s="1"/>
        <i x="366" s="1"/>
        <i x="367" s="1"/>
        <i x="368" s="1"/>
        <i x="369" s="1"/>
        <i x="370" s="1"/>
        <i x="371" s="1"/>
        <i x="372" s="1"/>
        <i x="373" s="1"/>
        <i x="374" s="1"/>
        <i x="375" s="1"/>
        <i x="376" s="1"/>
        <i x="377" s="1"/>
        <i x="378" s="1"/>
        <i x="379" s="1"/>
        <i x="380" s="1"/>
        <i x="381" s="1"/>
        <i x="382" s="1"/>
        <i x="383" s="1"/>
        <i x="384" s="1"/>
        <i x="385" s="1"/>
        <i x="386" s="1"/>
        <i x="387" s="1"/>
        <i x="388" s="1"/>
        <i x="389" s="1"/>
        <i x="390" s="1"/>
        <i x="391" s="1"/>
        <i x="392" s="1"/>
        <i x="393" s="1"/>
        <i x="394" s="1"/>
        <i x="395" s="1"/>
        <i x="396" s="1"/>
        <i x="397" s="1"/>
        <i x="398" s="1"/>
        <i x="399" s="1"/>
        <i x="400" s="1"/>
        <i x="401" s="1"/>
        <i x="402" s="1"/>
        <i x="403" s="1"/>
        <i x="404" s="1"/>
        <i x="405" s="1"/>
        <i x="406" s="1"/>
        <i x="407" s="1"/>
        <i x="408" s="1"/>
        <i x="409" s="1"/>
        <i x="410" s="1"/>
        <i x="411" s="1"/>
        <i x="412" s="1"/>
        <i x="413" s="1"/>
        <i x="414" s="1"/>
        <i x="415" s="1"/>
        <i x="416" s="1"/>
        <i x="417" s="1"/>
        <i x="418" s="1"/>
        <i x="419" s="1"/>
        <i x="420" s="1"/>
        <i x="421" s="1"/>
        <i x="422" s="1"/>
        <i x="423" s="1"/>
        <i x="424" s="1"/>
        <i x="425" s="1"/>
        <i x="426" s="1"/>
        <i x="427" s="1"/>
        <i x="428" s="1"/>
        <i x="429" s="1"/>
        <i x="430" s="1"/>
        <i x="431" s="1"/>
        <i x="432" s="1"/>
        <i x="433" s="1"/>
        <i x="434" s="1"/>
        <i x="435" s="1"/>
        <i x="436" s="1"/>
        <i x="437" s="1"/>
        <i x="438" s="1"/>
        <i x="439" s="1"/>
        <i x="440" s="1"/>
        <i x="441" s="1"/>
        <i x="442" s="1"/>
        <i x="443" s="1"/>
        <i x="444" s="1"/>
        <i x="445" s="1"/>
        <i x="446" s="1"/>
        <i x="447" s="1"/>
        <i x="448" s="1"/>
        <i x="449" s="1"/>
        <i x="450" s="1"/>
        <i x="451" s="1"/>
        <i x="452" s="1"/>
        <i x="453" s="1"/>
        <i x="454" s="1"/>
        <i x="455" s="1"/>
        <i x="456" s="1"/>
        <i x="457" s="1"/>
        <i x="458" s="1"/>
        <i x="459" s="1"/>
        <i x="460" s="1"/>
        <i x="461" s="1"/>
        <i x="462" s="1"/>
        <i x="463" s="1"/>
        <i x="464" s="1"/>
        <i x="465" s="1"/>
        <i x="466" s="1"/>
        <i x="467" s="1"/>
        <i x="468" s="1"/>
        <i x="469" s="1"/>
        <i x="470" s="1"/>
        <i x="471" s="1"/>
        <i x="472" s="1"/>
        <i x="473" s="1"/>
        <i x="474" s="1"/>
        <i x="475" s="1"/>
        <i x="476" s="1"/>
        <i x="477" s="1"/>
        <i x="478" s="1"/>
        <i x="479" s="1"/>
        <i x="480" s="1"/>
        <i x="481" s="1"/>
        <i x="482" s="1"/>
        <i x="483" s="1"/>
        <i x="484" s="1"/>
        <i x="485" s="1"/>
        <i x="486" s="1"/>
        <i x="487" s="1"/>
        <i x="488" s="1"/>
        <i x="489" s="1"/>
        <i x="490" s="1"/>
        <i x="491" s="1"/>
        <i x="492" s="1"/>
        <i x="493" s="1"/>
        <i x="494" s="1"/>
        <i x="495" s="1"/>
        <i x="496" s="1"/>
        <i x="497" s="1"/>
        <i x="498" s="1"/>
        <i x="499" s="1"/>
        <i x="500" s="1"/>
        <i x="501" s="1"/>
        <i x="502" s="1"/>
        <i x="503" s="1"/>
        <i x="504" s="1"/>
        <i x="505" s="1"/>
        <i x="506" s="1"/>
        <i x="50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01B95267-A7ED-4308-A22A-76C98B39F761}" sourceName="Genre">
  <pivotTables>
    <pivotTable tabId="3" name="PivotTable16"/>
    <pivotTable tabId="3" name="Profit"/>
    <pivotTable tabId="3" name="REvenue"/>
    <pivotTable tabId="3" name="ROI"/>
    <pivotTable tabId="3" name="Total movies"/>
  </pivotTables>
  <data>
    <tabular pivotCacheId="1120291823">
      <items count="17">
        <i x="1" s="1"/>
        <i x="6" s="1"/>
        <i x="15" s="1"/>
        <i x="3" s="1"/>
        <i x="2" s="1"/>
        <i x="5" s="1"/>
        <i x="16" s="1"/>
        <i x="4" s="1"/>
        <i x="13" s="1"/>
        <i x="11" s="1"/>
        <i x="7" s="1"/>
        <i x="10" s="1"/>
        <i x="12" s="1"/>
        <i x="14" s="1"/>
        <i x="9" s="1"/>
        <i x="8"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E40CB7A9-CA55-4E4D-A075-28294E6C60F2}" cache="Slicer_Year" caption="Year" rowHeight="247650"/>
  <slicer name="Director (1) 1" xr10:uid="{BAC72D2E-5C58-4540-8C25-2C281560DCCA}" cache="Slicer_Director__1" caption="Director (1)" startItem="9" rowHeight="247650"/>
  <slicer name="Movie Title" xr10:uid="{4861F608-96FD-429E-86E4-F69CE09BD333}" cache="Slicer_Movie_Title" caption="Movie Title" rowHeight="247650"/>
  <slicer name="Genre" xr10:uid="{2032DCD7-B4E2-43E5-A08D-FEDB1E8CF790}" cache="Slicer_Genre" caption="Genre"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6C87D88-3FC6-45C2-9DDB-AFAC959A9636}" name="Movie_Data" displayName="Movie_Data" ref="A1:P509" tableType="queryTable" totalsRowShown="0">
  <autoFilter ref="A1:P509" xr:uid="{06C87D88-3FC6-45C2-9DDB-AFAC959A9636}"/>
  <tableColumns count="16">
    <tableColumn id="1" xr3:uid="{EBA1E52D-C501-4311-9092-6754EC791C55}" uniqueName="1" name="Movie Title" queryTableFieldId="1" dataDxfId="19"/>
    <tableColumn id="2" xr3:uid="{76B31438-6B69-4189-AF86-990134FC9FCB}" uniqueName="2" name="Release Date" queryTableFieldId="2" dataDxfId="18"/>
    <tableColumn id="3" xr3:uid="{81BE88FB-2BB4-48C8-B26F-6465345A5430}" uniqueName="3" name="Year" queryTableFieldId="3"/>
    <tableColumn id="4" xr3:uid="{5C30CAC1-B6A2-4EC5-8F41-517FDC4BDAEB}" uniqueName="4" name="Genre" queryTableFieldId="4" dataDxfId="17"/>
    <tableColumn id="5" xr3:uid="{393FBEB3-FB00-4266-AFFB-910CE7B2BDFA}" uniqueName="5" name="Director (1)" queryTableFieldId="5" dataDxfId="16"/>
    <tableColumn id="6" xr3:uid="{142897BB-1A7F-490E-95B5-C3DD22A112B1}" uniqueName="6" name="Director (2)" queryTableFieldId="6" dataDxfId="15"/>
    <tableColumn id="7" xr3:uid="{1072E552-67C2-423E-B49E-6286FCE248B5}" uniqueName="7" name="Cast (1)" queryTableFieldId="7" dataDxfId="14"/>
    <tableColumn id="8" xr3:uid="{BEAACF23-904E-4DAF-ADED-22F5ABCCEB10}" uniqueName="8" name="Cast (2)" queryTableFieldId="8" dataDxfId="13"/>
    <tableColumn id="9" xr3:uid="{A6A07962-089D-4642-846C-E593430CADB5}" uniqueName="9" name="Cast (3)" queryTableFieldId="9" dataDxfId="12"/>
    <tableColumn id="10" xr3:uid="{3DD197FF-455F-4797-82F8-AC005FA4A6E5}" uniqueName="10" name="Cast (4)" queryTableFieldId="10" dataDxfId="11"/>
    <tableColumn id="11" xr3:uid="{D7A7DCC1-35CF-4221-A952-5FA9AC1DAA61}" uniqueName="11" name="Cast (5)" queryTableFieldId="11" dataDxfId="10"/>
    <tableColumn id="12" xr3:uid="{230AF897-464F-4E86-B4A7-D5F5C6097544}" uniqueName="12" name="Budget " queryTableFieldId="12"/>
    <tableColumn id="13" xr3:uid="{B9AE3555-B086-407F-8D9A-5CCA25BED94E}" uniqueName="13" name="Revenue" queryTableFieldId="13"/>
    <tableColumn id="14" xr3:uid="{AB651A84-D668-4DAC-8D34-A5EAD9020B11}" uniqueName="14" name="Profit" queryTableFieldId="14"/>
    <tableColumn id="15" xr3:uid="{18313D5A-8D99-444B-B184-531450FD1578}" uniqueName="15" name="ROI%" queryTableFieldId="15"/>
    <tableColumn id="16" xr3:uid="{0099A56F-C830-48B9-8EDC-6A5545DE5E6C}" uniqueName="16" name="Movie_Status" queryTableFieldId="1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71301-985C-403A-A403-CD52DD144DDE}">
  <dimension ref="A1:P509"/>
  <sheetViews>
    <sheetView workbookViewId="0"/>
  </sheetViews>
  <sheetFormatPr defaultRowHeight="14.4" x14ac:dyDescent="0.3"/>
  <cols>
    <col min="1" max="1" width="40.88671875" bestFit="1" customWidth="1"/>
    <col min="2" max="2" width="14" bestFit="1" customWidth="1"/>
    <col min="3" max="3" width="6.88671875" bestFit="1" customWidth="1"/>
    <col min="4" max="4" width="11.77734375" bestFit="1" customWidth="1"/>
    <col min="5" max="5" width="24.77734375" bestFit="1" customWidth="1"/>
    <col min="6" max="6" width="18.109375" bestFit="1" customWidth="1"/>
    <col min="7" max="7" width="34" bestFit="1" customWidth="1"/>
    <col min="8" max="8" width="35.44140625" bestFit="1" customWidth="1"/>
    <col min="9" max="10" width="22.88671875" bestFit="1" customWidth="1"/>
    <col min="11" max="11" width="22.44140625" bestFit="1" customWidth="1"/>
    <col min="12" max="12" width="10" bestFit="1" customWidth="1"/>
    <col min="13" max="13" width="10.21875" bestFit="1" customWidth="1"/>
    <col min="14" max="14" width="10" bestFit="1" customWidth="1"/>
    <col min="15" max="15" width="8" bestFit="1" customWidth="1"/>
    <col min="16" max="16" width="14.21875" bestFit="1" customWidth="1"/>
  </cols>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
      <c r="A2" s="1" t="s">
        <v>16</v>
      </c>
      <c r="B2" s="2">
        <v>42437</v>
      </c>
      <c r="C2">
        <v>2016</v>
      </c>
      <c r="D2" s="1" t="s">
        <v>17</v>
      </c>
      <c r="E2" s="1" t="s">
        <v>18</v>
      </c>
      <c r="F2" s="1" t="s">
        <v>19</v>
      </c>
      <c r="G2" s="1" t="s">
        <v>20</v>
      </c>
      <c r="H2" s="1" t="s">
        <v>21</v>
      </c>
      <c r="I2" s="1" t="s">
        <v>22</v>
      </c>
      <c r="J2" s="1" t="s">
        <v>19</v>
      </c>
      <c r="K2" s="1" t="s">
        <v>19</v>
      </c>
      <c r="L2">
        <v>15000000</v>
      </c>
      <c r="M2">
        <v>108300000</v>
      </c>
      <c r="N2">
        <v>93300000</v>
      </c>
      <c r="O2">
        <v>622</v>
      </c>
      <c r="P2" t="s">
        <v>23</v>
      </c>
    </row>
    <row r="3" spans="1:16" x14ac:dyDescent="0.3">
      <c r="A3" s="1" t="s">
        <v>24</v>
      </c>
      <c r="B3" s="2">
        <v>42384</v>
      </c>
      <c r="C3">
        <v>2016</v>
      </c>
      <c r="D3" s="1" t="s">
        <v>25</v>
      </c>
      <c r="E3" s="1" t="s">
        <v>26</v>
      </c>
      <c r="F3" s="1" t="s">
        <v>19</v>
      </c>
      <c r="G3" s="1" t="s">
        <v>27</v>
      </c>
      <c r="H3" s="1" t="s">
        <v>28</v>
      </c>
      <c r="I3" s="1" t="s">
        <v>29</v>
      </c>
      <c r="J3" s="1" t="s">
        <v>30</v>
      </c>
      <c r="K3" s="1" t="s">
        <v>31</v>
      </c>
      <c r="L3">
        <v>45000000</v>
      </c>
      <c r="M3">
        <v>69400000</v>
      </c>
      <c r="N3">
        <v>24400000</v>
      </c>
      <c r="O3">
        <v>54.22</v>
      </c>
      <c r="P3" t="s">
        <v>32</v>
      </c>
    </row>
    <row r="4" spans="1:16" x14ac:dyDescent="0.3">
      <c r="A4" s="1" t="s">
        <v>33</v>
      </c>
      <c r="B4" s="2">
        <v>41488</v>
      </c>
      <c r="C4">
        <v>2013</v>
      </c>
      <c r="D4" s="1" t="s">
        <v>25</v>
      </c>
      <c r="E4" s="1" t="s">
        <v>34</v>
      </c>
      <c r="F4" s="1" t="s">
        <v>19</v>
      </c>
      <c r="G4" s="1" t="s">
        <v>35</v>
      </c>
      <c r="H4" s="1" t="s">
        <v>36</v>
      </c>
      <c r="I4" s="1" t="s">
        <v>37</v>
      </c>
      <c r="J4" s="1" t="s">
        <v>38</v>
      </c>
      <c r="K4" s="1" t="s">
        <v>39</v>
      </c>
      <c r="L4">
        <v>61000000</v>
      </c>
      <c r="M4">
        <v>131900000</v>
      </c>
      <c r="N4">
        <v>70900000</v>
      </c>
      <c r="O4">
        <v>116.23</v>
      </c>
      <c r="P4" t="s">
        <v>40</v>
      </c>
    </row>
    <row r="5" spans="1:16" x14ac:dyDescent="0.3">
      <c r="A5" s="1" t="s">
        <v>41</v>
      </c>
      <c r="B5" s="2">
        <v>40984</v>
      </c>
      <c r="C5">
        <v>2012</v>
      </c>
      <c r="D5" s="1" t="s">
        <v>42</v>
      </c>
      <c r="E5" s="1" t="s">
        <v>43</v>
      </c>
      <c r="F5" s="1" t="s">
        <v>44</v>
      </c>
      <c r="G5" s="1" t="s">
        <v>45</v>
      </c>
      <c r="H5" s="1" t="s">
        <v>46</v>
      </c>
      <c r="I5" s="1" t="s">
        <v>47</v>
      </c>
      <c r="J5" s="1" t="s">
        <v>48</v>
      </c>
      <c r="K5" s="1" t="s">
        <v>49</v>
      </c>
      <c r="L5">
        <v>55000000</v>
      </c>
      <c r="M5">
        <v>201500000</v>
      </c>
      <c r="N5">
        <v>146500000</v>
      </c>
      <c r="O5">
        <v>266.36</v>
      </c>
      <c r="P5" t="s">
        <v>40</v>
      </c>
    </row>
    <row r="6" spans="1:16" x14ac:dyDescent="0.3">
      <c r="A6" s="1" t="s">
        <v>50</v>
      </c>
      <c r="B6" s="2">
        <v>41794</v>
      </c>
      <c r="C6">
        <v>2014</v>
      </c>
      <c r="D6" s="1" t="s">
        <v>25</v>
      </c>
      <c r="E6" s="1" t="s">
        <v>43</v>
      </c>
      <c r="F6" s="1" t="s">
        <v>44</v>
      </c>
      <c r="G6" s="1" t="s">
        <v>46</v>
      </c>
      <c r="H6" s="1" t="s">
        <v>45</v>
      </c>
      <c r="I6" s="1" t="s">
        <v>47</v>
      </c>
      <c r="J6" s="1" t="s">
        <v>19</v>
      </c>
      <c r="K6" s="1" t="s">
        <v>19</v>
      </c>
      <c r="L6">
        <v>84500000</v>
      </c>
      <c r="M6">
        <v>331300000</v>
      </c>
      <c r="N6">
        <v>246800000</v>
      </c>
      <c r="O6">
        <v>292.07</v>
      </c>
      <c r="P6" t="s">
        <v>40</v>
      </c>
    </row>
    <row r="7" spans="1:16" x14ac:dyDescent="0.3">
      <c r="A7" s="1" t="s">
        <v>51</v>
      </c>
      <c r="B7" s="2">
        <v>41702</v>
      </c>
      <c r="C7">
        <v>2014</v>
      </c>
      <c r="D7" s="1" t="s">
        <v>25</v>
      </c>
      <c r="E7" s="1" t="s">
        <v>52</v>
      </c>
      <c r="F7" s="1" t="s">
        <v>19</v>
      </c>
      <c r="G7" s="1" t="s">
        <v>53</v>
      </c>
      <c r="H7" s="1" t="s">
        <v>54</v>
      </c>
      <c r="I7" s="1" t="s">
        <v>55</v>
      </c>
      <c r="J7" s="1" t="s">
        <v>56</v>
      </c>
      <c r="K7" s="1" t="s">
        <v>57</v>
      </c>
      <c r="L7">
        <v>110000000</v>
      </c>
      <c r="M7">
        <v>337600000</v>
      </c>
      <c r="N7">
        <v>227600000</v>
      </c>
      <c r="O7">
        <v>206.91</v>
      </c>
      <c r="P7" t="s">
        <v>40</v>
      </c>
    </row>
    <row r="8" spans="1:16" x14ac:dyDescent="0.3">
      <c r="A8" s="1" t="s">
        <v>58</v>
      </c>
      <c r="B8" s="2">
        <v>41376</v>
      </c>
      <c r="C8">
        <v>2013</v>
      </c>
      <c r="D8" s="1" t="s">
        <v>59</v>
      </c>
      <c r="E8" s="1" t="s">
        <v>60</v>
      </c>
      <c r="F8" s="1" t="s">
        <v>19</v>
      </c>
      <c r="G8" s="1" t="s">
        <v>61</v>
      </c>
      <c r="H8" s="1" t="s">
        <v>62</v>
      </c>
      <c r="I8" s="1" t="s">
        <v>63</v>
      </c>
      <c r="J8" s="1" t="s">
        <v>64</v>
      </c>
      <c r="K8" s="1" t="s">
        <v>65</v>
      </c>
      <c r="L8">
        <v>40000000</v>
      </c>
      <c r="M8">
        <v>97500000</v>
      </c>
      <c r="N8">
        <v>57500000</v>
      </c>
      <c r="O8">
        <v>143.75</v>
      </c>
      <c r="P8" t="s">
        <v>40</v>
      </c>
    </row>
    <row r="9" spans="1:16" x14ac:dyDescent="0.3">
      <c r="A9" s="1" t="s">
        <v>66</v>
      </c>
      <c r="B9" s="2">
        <v>41677</v>
      </c>
      <c r="C9">
        <v>2014</v>
      </c>
      <c r="D9" s="1" t="s">
        <v>25</v>
      </c>
      <c r="E9" s="1" t="s">
        <v>67</v>
      </c>
      <c r="F9" s="1" t="s">
        <v>19</v>
      </c>
      <c r="G9" s="1" t="s">
        <v>68</v>
      </c>
      <c r="H9" s="1" t="s">
        <v>69</v>
      </c>
      <c r="I9" s="1" t="s">
        <v>70</v>
      </c>
      <c r="J9" s="1" t="s">
        <v>71</v>
      </c>
      <c r="K9" s="1" t="s">
        <v>19</v>
      </c>
      <c r="L9">
        <v>8100000</v>
      </c>
      <c r="M9">
        <v>2900000</v>
      </c>
      <c r="N9">
        <v>-5200000</v>
      </c>
      <c r="O9">
        <v>-64.2</v>
      </c>
      <c r="P9" t="s">
        <v>72</v>
      </c>
    </row>
    <row r="10" spans="1:16" x14ac:dyDescent="0.3">
      <c r="A10" s="1" t="s">
        <v>73</v>
      </c>
      <c r="B10" s="2">
        <v>42258</v>
      </c>
      <c r="C10">
        <v>2015</v>
      </c>
      <c r="D10" s="1" t="s">
        <v>74</v>
      </c>
      <c r="E10" s="1" t="s">
        <v>75</v>
      </c>
      <c r="F10" s="1" t="s">
        <v>19</v>
      </c>
      <c r="G10" s="1" t="s">
        <v>76</v>
      </c>
      <c r="H10" s="1" t="s">
        <v>77</v>
      </c>
      <c r="I10" s="1" t="s">
        <v>78</v>
      </c>
      <c r="J10" s="1" t="s">
        <v>79</v>
      </c>
      <c r="K10" s="1" t="s">
        <v>19</v>
      </c>
      <c r="L10">
        <v>5000000</v>
      </c>
      <c r="M10">
        <v>4800000</v>
      </c>
      <c r="N10">
        <v>-200000</v>
      </c>
      <c r="O10">
        <v>-4</v>
      </c>
      <c r="P10" t="s">
        <v>72</v>
      </c>
    </row>
    <row r="11" spans="1:16" x14ac:dyDescent="0.3">
      <c r="A11" s="1" t="s">
        <v>80</v>
      </c>
      <c r="B11" s="2">
        <v>41319</v>
      </c>
      <c r="C11">
        <v>2013</v>
      </c>
      <c r="D11" s="1" t="s">
        <v>25</v>
      </c>
      <c r="E11" s="1" t="s">
        <v>81</v>
      </c>
      <c r="F11" s="1" t="s">
        <v>19</v>
      </c>
      <c r="G11" s="1" t="s">
        <v>82</v>
      </c>
      <c r="H11" s="1" t="s">
        <v>83</v>
      </c>
      <c r="I11" s="1" t="s">
        <v>84</v>
      </c>
      <c r="J11" s="1" t="s">
        <v>85</v>
      </c>
      <c r="K11" s="1" t="s">
        <v>86</v>
      </c>
      <c r="L11">
        <v>92000000</v>
      </c>
      <c r="M11">
        <v>304700000</v>
      </c>
      <c r="N11">
        <v>212700000</v>
      </c>
      <c r="O11">
        <v>231.2</v>
      </c>
      <c r="P11" t="s">
        <v>40</v>
      </c>
    </row>
    <row r="12" spans="1:16" x14ac:dyDescent="0.3">
      <c r="A12" s="1" t="s">
        <v>87</v>
      </c>
      <c r="B12" s="2">
        <v>41285</v>
      </c>
      <c r="C12">
        <v>2013</v>
      </c>
      <c r="D12" s="1" t="s">
        <v>42</v>
      </c>
      <c r="E12" s="1" t="s">
        <v>88</v>
      </c>
      <c r="F12" s="1" t="s">
        <v>19</v>
      </c>
      <c r="G12" s="1" t="s">
        <v>89</v>
      </c>
      <c r="H12" s="1" t="s">
        <v>90</v>
      </c>
      <c r="I12" s="1" t="s">
        <v>91</v>
      </c>
      <c r="J12" s="1" t="s">
        <v>92</v>
      </c>
      <c r="K12" s="1" t="s">
        <v>93</v>
      </c>
      <c r="L12">
        <v>2500000</v>
      </c>
      <c r="M12">
        <v>60100000</v>
      </c>
      <c r="N12">
        <v>57600000</v>
      </c>
      <c r="O12">
        <v>2304</v>
      </c>
      <c r="P12" t="s">
        <v>23</v>
      </c>
    </row>
    <row r="13" spans="1:16" x14ac:dyDescent="0.3">
      <c r="A13" s="1" t="s">
        <v>94</v>
      </c>
      <c r="B13" s="2">
        <v>41747</v>
      </c>
      <c r="C13">
        <v>2014</v>
      </c>
      <c r="D13" s="1" t="s">
        <v>42</v>
      </c>
      <c r="E13" s="1" t="s">
        <v>88</v>
      </c>
      <c r="F13" s="1" t="s">
        <v>19</v>
      </c>
      <c r="G13" s="1" t="s">
        <v>89</v>
      </c>
      <c r="H13" s="1" t="s">
        <v>95</v>
      </c>
      <c r="I13" s="1" t="s">
        <v>92</v>
      </c>
      <c r="J13" s="1" t="s">
        <v>93</v>
      </c>
      <c r="K13" s="1" t="s">
        <v>96</v>
      </c>
      <c r="L13">
        <v>4000000</v>
      </c>
      <c r="M13">
        <v>24000000</v>
      </c>
      <c r="N13">
        <v>20000000</v>
      </c>
      <c r="O13">
        <v>500</v>
      </c>
      <c r="P13" t="s">
        <v>23</v>
      </c>
    </row>
    <row r="14" spans="1:16" x14ac:dyDescent="0.3">
      <c r="A14" s="1" t="s">
        <v>97</v>
      </c>
      <c r="B14" s="2">
        <v>41680</v>
      </c>
      <c r="C14">
        <v>2014</v>
      </c>
      <c r="D14" s="1" t="s">
        <v>42</v>
      </c>
      <c r="E14" s="1" t="s">
        <v>98</v>
      </c>
      <c r="F14" s="1" t="s">
        <v>19</v>
      </c>
      <c r="G14" s="1" t="s">
        <v>99</v>
      </c>
      <c r="H14" s="1" t="s">
        <v>100</v>
      </c>
      <c r="I14" s="1" t="s">
        <v>101</v>
      </c>
      <c r="J14" s="1" t="s">
        <v>102</v>
      </c>
      <c r="K14" s="1" t="s">
        <v>19</v>
      </c>
      <c r="L14">
        <v>22700000</v>
      </c>
      <c r="M14">
        <v>7100000</v>
      </c>
      <c r="N14">
        <v>-15600000</v>
      </c>
      <c r="O14">
        <v>-68.72</v>
      </c>
      <c r="P14" t="s">
        <v>72</v>
      </c>
    </row>
    <row r="15" spans="1:16" x14ac:dyDescent="0.3">
      <c r="A15" s="1" t="s">
        <v>103</v>
      </c>
      <c r="B15" s="2">
        <v>41949</v>
      </c>
      <c r="C15">
        <v>2014</v>
      </c>
      <c r="D15" s="1" t="s">
        <v>25</v>
      </c>
      <c r="E15" s="1" t="s">
        <v>104</v>
      </c>
      <c r="F15" s="1" t="s">
        <v>19</v>
      </c>
      <c r="G15" s="1" t="s">
        <v>105</v>
      </c>
      <c r="H15" s="1" t="s">
        <v>106</v>
      </c>
      <c r="I15" s="1" t="s">
        <v>107</v>
      </c>
      <c r="J15" s="1" t="s">
        <v>108</v>
      </c>
      <c r="K15" s="1" t="s">
        <v>109</v>
      </c>
      <c r="L15">
        <v>20000000</v>
      </c>
      <c r="M15">
        <v>12000000</v>
      </c>
      <c r="N15">
        <v>-8000000</v>
      </c>
      <c r="O15">
        <v>-40</v>
      </c>
      <c r="P15" t="s">
        <v>72</v>
      </c>
    </row>
    <row r="16" spans="1:16" x14ac:dyDescent="0.3">
      <c r="A16" s="1" t="s">
        <v>110</v>
      </c>
      <c r="B16" s="2">
        <v>41658</v>
      </c>
      <c r="C16">
        <v>2014</v>
      </c>
      <c r="D16" s="1" t="s">
        <v>17</v>
      </c>
      <c r="E16" s="1" t="s">
        <v>111</v>
      </c>
      <c r="F16" s="1" t="s">
        <v>19</v>
      </c>
      <c r="G16" s="1" t="s">
        <v>112</v>
      </c>
      <c r="H16" s="1" t="s">
        <v>113</v>
      </c>
      <c r="I16" s="1" t="s">
        <v>114</v>
      </c>
      <c r="J16" s="1" t="s">
        <v>115</v>
      </c>
      <c r="K16" s="1" t="s">
        <v>116</v>
      </c>
      <c r="L16">
        <v>15000000</v>
      </c>
      <c r="M16">
        <v>36200000</v>
      </c>
      <c r="N16">
        <v>21200000</v>
      </c>
      <c r="O16">
        <v>141.33000000000001</v>
      </c>
      <c r="P16" t="s">
        <v>40</v>
      </c>
    </row>
    <row r="17" spans="1:16" x14ac:dyDescent="0.3">
      <c r="A17" s="1" t="s">
        <v>117</v>
      </c>
      <c r="B17" s="2">
        <v>40977</v>
      </c>
      <c r="C17">
        <v>2012</v>
      </c>
      <c r="D17" s="1" t="s">
        <v>42</v>
      </c>
      <c r="E17" s="1" t="s">
        <v>118</v>
      </c>
      <c r="F17" s="1" t="s">
        <v>19</v>
      </c>
      <c r="G17" s="1" t="s">
        <v>119</v>
      </c>
      <c r="H17" s="1" t="s">
        <v>120</v>
      </c>
      <c r="I17" s="1" t="s">
        <v>121</v>
      </c>
      <c r="J17" s="1" t="s">
        <v>122</v>
      </c>
      <c r="K17" s="1" t="s">
        <v>123</v>
      </c>
      <c r="L17">
        <v>40000000</v>
      </c>
      <c r="M17">
        <v>22000000</v>
      </c>
      <c r="N17">
        <v>-18000000</v>
      </c>
      <c r="O17">
        <v>-45</v>
      </c>
      <c r="P17" t="s">
        <v>72</v>
      </c>
    </row>
    <row r="18" spans="1:16" x14ac:dyDescent="0.3">
      <c r="A18" s="1" t="s">
        <v>124</v>
      </c>
      <c r="B18" s="2">
        <v>41901</v>
      </c>
      <c r="C18">
        <v>2014</v>
      </c>
      <c r="D18" s="1" t="s">
        <v>125</v>
      </c>
      <c r="E18" s="1" t="s">
        <v>126</v>
      </c>
      <c r="F18" s="1" t="s">
        <v>19</v>
      </c>
      <c r="G18" s="1" t="s">
        <v>127</v>
      </c>
      <c r="H18" s="1" t="s">
        <v>128</v>
      </c>
      <c r="I18" s="1" t="s">
        <v>129</v>
      </c>
      <c r="J18" s="1" t="s">
        <v>130</v>
      </c>
      <c r="K18" s="1" t="s">
        <v>19</v>
      </c>
      <c r="L18">
        <v>28000000</v>
      </c>
      <c r="M18">
        <v>58800000</v>
      </c>
      <c r="N18">
        <v>30800000</v>
      </c>
      <c r="O18">
        <v>110</v>
      </c>
      <c r="P18" t="s">
        <v>40</v>
      </c>
    </row>
    <row r="19" spans="1:16" x14ac:dyDescent="0.3">
      <c r="A19" s="1" t="s">
        <v>131</v>
      </c>
      <c r="B19" s="2">
        <v>42027</v>
      </c>
      <c r="C19">
        <v>2015</v>
      </c>
      <c r="D19" s="1" t="s">
        <v>132</v>
      </c>
      <c r="E19" s="1" t="s">
        <v>133</v>
      </c>
      <c r="F19" s="1" t="s">
        <v>19</v>
      </c>
      <c r="G19" s="1" t="s">
        <v>134</v>
      </c>
      <c r="H19" s="1" t="s">
        <v>135</v>
      </c>
      <c r="I19" s="1" t="s">
        <v>136</v>
      </c>
      <c r="J19" s="1" t="s">
        <v>19</v>
      </c>
      <c r="K19" s="1" t="s">
        <v>19</v>
      </c>
      <c r="L19">
        <v>8000000</v>
      </c>
      <c r="M19">
        <v>36000000</v>
      </c>
      <c r="N19">
        <v>28000000</v>
      </c>
      <c r="O19">
        <v>350</v>
      </c>
      <c r="P19" t="s">
        <v>23</v>
      </c>
    </row>
    <row r="20" spans="1:16" x14ac:dyDescent="0.3">
      <c r="A20" s="1" t="s">
        <v>137</v>
      </c>
      <c r="B20" s="2">
        <v>41082</v>
      </c>
      <c r="C20">
        <v>2012</v>
      </c>
      <c r="D20" s="1" t="s">
        <v>138</v>
      </c>
      <c r="E20" s="1" t="s">
        <v>139</v>
      </c>
      <c r="F20" s="1" t="s">
        <v>19</v>
      </c>
      <c r="G20" s="1" t="s">
        <v>140</v>
      </c>
      <c r="H20" s="1" t="s">
        <v>141</v>
      </c>
      <c r="I20" s="1" t="s">
        <v>142</v>
      </c>
      <c r="J20" s="1" t="s">
        <v>20</v>
      </c>
      <c r="K20" s="1" t="s">
        <v>143</v>
      </c>
      <c r="L20">
        <v>99500000</v>
      </c>
      <c r="M20">
        <v>116400000</v>
      </c>
      <c r="N20">
        <v>16900000</v>
      </c>
      <c r="O20">
        <v>16.98</v>
      </c>
      <c r="P20" t="s">
        <v>32</v>
      </c>
    </row>
    <row r="21" spans="1:16" x14ac:dyDescent="0.3">
      <c r="A21" s="1" t="s">
        <v>144</v>
      </c>
      <c r="B21" s="2">
        <v>41425</v>
      </c>
      <c r="C21">
        <v>2013</v>
      </c>
      <c r="D21" s="1" t="s">
        <v>145</v>
      </c>
      <c r="E21" s="1" t="s">
        <v>146</v>
      </c>
      <c r="F21" s="1" t="s">
        <v>19</v>
      </c>
      <c r="G21" s="1" t="s">
        <v>147</v>
      </c>
      <c r="H21" s="1" t="s">
        <v>148</v>
      </c>
      <c r="I21" s="1" t="s">
        <v>149</v>
      </c>
      <c r="J21" s="1" t="s">
        <v>150</v>
      </c>
      <c r="K21" s="1" t="s">
        <v>19</v>
      </c>
      <c r="L21">
        <v>130000000</v>
      </c>
      <c r="M21">
        <v>243800000</v>
      </c>
      <c r="N21">
        <v>113800000</v>
      </c>
      <c r="O21">
        <v>87.54</v>
      </c>
      <c r="P21" t="s">
        <v>32</v>
      </c>
    </row>
    <row r="22" spans="1:16" x14ac:dyDescent="0.3">
      <c r="A22" s="1" t="s">
        <v>151</v>
      </c>
      <c r="B22" s="2">
        <v>41502</v>
      </c>
      <c r="C22">
        <v>2013</v>
      </c>
      <c r="D22" s="1" t="s">
        <v>74</v>
      </c>
      <c r="E22" s="1" t="s">
        <v>152</v>
      </c>
      <c r="F22" s="1" t="s">
        <v>19</v>
      </c>
      <c r="G22" s="1" t="s">
        <v>153</v>
      </c>
      <c r="H22" s="1" t="s">
        <v>154</v>
      </c>
      <c r="I22" s="1" t="s">
        <v>155</v>
      </c>
      <c r="J22" s="1" t="s">
        <v>156</v>
      </c>
      <c r="K22" s="1" t="s">
        <v>157</v>
      </c>
      <c r="L22">
        <v>4000000</v>
      </c>
      <c r="M22">
        <v>1000000</v>
      </c>
      <c r="N22">
        <v>-3000000</v>
      </c>
      <c r="O22">
        <v>-75</v>
      </c>
      <c r="P22" t="s">
        <v>72</v>
      </c>
    </row>
    <row r="23" spans="1:16" x14ac:dyDescent="0.3">
      <c r="A23" s="1" t="s">
        <v>158</v>
      </c>
      <c r="B23" s="2">
        <v>41201</v>
      </c>
      <c r="C23">
        <v>2012</v>
      </c>
      <c r="D23" s="1" t="s">
        <v>125</v>
      </c>
      <c r="E23" s="1" t="s">
        <v>159</v>
      </c>
      <c r="F23" s="1" t="s">
        <v>19</v>
      </c>
      <c r="G23" s="1" t="s">
        <v>160</v>
      </c>
      <c r="H23" s="1" t="s">
        <v>161</v>
      </c>
      <c r="I23" s="1" t="s">
        <v>162</v>
      </c>
      <c r="J23" s="1" t="s">
        <v>163</v>
      </c>
      <c r="K23" s="1" t="s">
        <v>164</v>
      </c>
      <c r="L23">
        <v>35000000</v>
      </c>
      <c r="M23">
        <v>34600000</v>
      </c>
      <c r="N23">
        <v>-400000</v>
      </c>
      <c r="O23">
        <v>-1.1399999999999999</v>
      </c>
      <c r="P23" t="s">
        <v>72</v>
      </c>
    </row>
    <row r="24" spans="1:16" x14ac:dyDescent="0.3">
      <c r="A24" s="1" t="s">
        <v>165</v>
      </c>
      <c r="B24" s="2">
        <v>42151</v>
      </c>
      <c r="C24">
        <v>2015</v>
      </c>
      <c r="D24" s="1" t="s">
        <v>166</v>
      </c>
      <c r="E24" s="1" t="s">
        <v>167</v>
      </c>
      <c r="F24" s="1" t="s">
        <v>19</v>
      </c>
      <c r="G24" s="1" t="s">
        <v>168</v>
      </c>
      <c r="H24" s="1" t="s">
        <v>169</v>
      </c>
      <c r="I24" s="1" t="s">
        <v>170</v>
      </c>
      <c r="J24" s="1" t="s">
        <v>113</v>
      </c>
      <c r="K24" s="1" t="s">
        <v>171</v>
      </c>
      <c r="L24">
        <v>52000000</v>
      </c>
      <c r="M24">
        <v>26300000</v>
      </c>
      <c r="N24">
        <v>-25700000</v>
      </c>
      <c r="O24">
        <v>-49.42</v>
      </c>
      <c r="P24" t="s">
        <v>72</v>
      </c>
    </row>
    <row r="25" spans="1:16" x14ac:dyDescent="0.3">
      <c r="A25" s="1" t="s">
        <v>172</v>
      </c>
      <c r="B25" s="2">
        <v>42356</v>
      </c>
      <c r="C25">
        <v>2015</v>
      </c>
      <c r="D25" s="1" t="s">
        <v>42</v>
      </c>
      <c r="E25" s="1" t="s">
        <v>173</v>
      </c>
      <c r="F25" s="1" t="s">
        <v>19</v>
      </c>
      <c r="G25" s="1" t="s">
        <v>174</v>
      </c>
      <c r="H25" s="1" t="s">
        <v>175</v>
      </c>
      <c r="I25" s="1" t="s">
        <v>176</v>
      </c>
      <c r="J25" s="1" t="s">
        <v>177</v>
      </c>
      <c r="K25" s="1" t="s">
        <v>178</v>
      </c>
      <c r="L25">
        <v>90000000</v>
      </c>
      <c r="M25">
        <v>234800000</v>
      </c>
      <c r="N25">
        <v>144800000</v>
      </c>
      <c r="O25">
        <v>160.88999999999999</v>
      </c>
      <c r="P25" t="s">
        <v>40</v>
      </c>
    </row>
    <row r="26" spans="1:16" x14ac:dyDescent="0.3">
      <c r="A26" s="1" t="s">
        <v>179</v>
      </c>
      <c r="B26" s="2">
        <v>41005</v>
      </c>
      <c r="C26">
        <v>2012</v>
      </c>
      <c r="D26" s="1" t="s">
        <v>42</v>
      </c>
      <c r="E26" s="1" t="s">
        <v>180</v>
      </c>
      <c r="F26" s="1" t="s">
        <v>19</v>
      </c>
      <c r="G26" s="1" t="s">
        <v>181</v>
      </c>
      <c r="H26" s="1" t="s">
        <v>182</v>
      </c>
      <c r="I26" s="1" t="s">
        <v>183</v>
      </c>
      <c r="J26" s="1" t="s">
        <v>184</v>
      </c>
      <c r="K26" s="1" t="s">
        <v>185</v>
      </c>
      <c r="L26">
        <v>50000000</v>
      </c>
      <c r="M26">
        <v>235000000</v>
      </c>
      <c r="N26">
        <v>185000000</v>
      </c>
      <c r="O26">
        <v>370</v>
      </c>
      <c r="P26" t="s">
        <v>23</v>
      </c>
    </row>
    <row r="27" spans="1:16" x14ac:dyDescent="0.3">
      <c r="A27" s="1" t="s">
        <v>186</v>
      </c>
      <c r="B27" s="2">
        <v>41954</v>
      </c>
      <c r="C27">
        <v>2014</v>
      </c>
      <c r="D27" s="1" t="s">
        <v>74</v>
      </c>
      <c r="E27" s="1" t="s">
        <v>187</v>
      </c>
      <c r="F27" s="1" t="s">
        <v>19</v>
      </c>
      <c r="G27" s="1" t="s">
        <v>168</v>
      </c>
      <c r="H27" s="1" t="s">
        <v>188</v>
      </c>
      <c r="I27" s="1" t="s">
        <v>189</v>
      </c>
      <c r="J27" s="1" t="s">
        <v>190</v>
      </c>
      <c r="K27" s="1" t="s">
        <v>19</v>
      </c>
      <c r="L27">
        <v>58800000</v>
      </c>
      <c r="M27">
        <v>547400000</v>
      </c>
      <c r="N27">
        <v>488600000</v>
      </c>
      <c r="O27">
        <v>830.95</v>
      </c>
      <c r="P27" t="s">
        <v>23</v>
      </c>
    </row>
    <row r="28" spans="1:16" x14ac:dyDescent="0.3">
      <c r="A28" s="1" t="s">
        <v>191</v>
      </c>
      <c r="B28" s="2">
        <v>42237</v>
      </c>
      <c r="C28">
        <v>2015</v>
      </c>
      <c r="D28" s="1" t="s">
        <v>25</v>
      </c>
      <c r="E28" s="1" t="s">
        <v>192</v>
      </c>
      <c r="F28" s="1" t="s">
        <v>19</v>
      </c>
      <c r="G28" s="1" t="s">
        <v>193</v>
      </c>
      <c r="H28" s="1" t="s">
        <v>194</v>
      </c>
      <c r="I28" s="1" t="s">
        <v>195</v>
      </c>
      <c r="J28" s="1" t="s">
        <v>196</v>
      </c>
      <c r="K28" s="1" t="s">
        <v>197</v>
      </c>
      <c r="L28">
        <v>28000000</v>
      </c>
      <c r="M28">
        <v>27100000</v>
      </c>
      <c r="N28">
        <v>-900000</v>
      </c>
      <c r="O28">
        <v>-3.21</v>
      </c>
      <c r="P28" t="s">
        <v>72</v>
      </c>
    </row>
    <row r="29" spans="1:16" x14ac:dyDescent="0.3">
      <c r="A29" s="1" t="s">
        <v>198</v>
      </c>
      <c r="B29" s="2">
        <v>42171</v>
      </c>
      <c r="C29">
        <v>2015</v>
      </c>
      <c r="D29" s="1" t="s">
        <v>59</v>
      </c>
      <c r="E29" s="1" t="s">
        <v>199</v>
      </c>
      <c r="F29" s="1" t="s">
        <v>19</v>
      </c>
      <c r="G29" s="1" t="s">
        <v>200</v>
      </c>
      <c r="H29" s="1" t="s">
        <v>201</v>
      </c>
      <c r="I29" s="1" t="s">
        <v>202</v>
      </c>
      <c r="J29" s="1" t="s">
        <v>203</v>
      </c>
      <c r="K29" s="1" t="s">
        <v>204</v>
      </c>
      <c r="L29">
        <v>3400000</v>
      </c>
      <c r="M29">
        <v>22000000</v>
      </c>
      <c r="N29">
        <v>18600000</v>
      </c>
      <c r="O29">
        <v>547.05999999999995</v>
      </c>
      <c r="P29" t="s">
        <v>23</v>
      </c>
    </row>
    <row r="30" spans="1:16" x14ac:dyDescent="0.3">
      <c r="A30" s="1" t="s">
        <v>205</v>
      </c>
      <c r="B30" s="2">
        <v>41908</v>
      </c>
      <c r="C30">
        <v>2014</v>
      </c>
      <c r="D30" s="1" t="s">
        <v>138</v>
      </c>
      <c r="E30" s="1" t="s">
        <v>206</v>
      </c>
      <c r="F30" s="1" t="s">
        <v>19</v>
      </c>
      <c r="G30" s="1" t="s">
        <v>207</v>
      </c>
      <c r="H30" s="1" t="s">
        <v>208</v>
      </c>
      <c r="I30" s="1" t="s">
        <v>209</v>
      </c>
      <c r="J30" s="1" t="s">
        <v>210</v>
      </c>
      <c r="K30" s="1" t="s">
        <v>19</v>
      </c>
      <c r="L30">
        <v>6500000</v>
      </c>
      <c r="M30">
        <v>256900000</v>
      </c>
      <c r="N30">
        <v>250400000</v>
      </c>
      <c r="O30">
        <v>3852.31</v>
      </c>
      <c r="P30" t="s">
        <v>23</v>
      </c>
    </row>
    <row r="31" spans="1:16" x14ac:dyDescent="0.3">
      <c r="A31" s="1" t="s">
        <v>211</v>
      </c>
      <c r="B31" s="2">
        <v>41980</v>
      </c>
      <c r="C31">
        <v>2014</v>
      </c>
      <c r="D31" s="1" t="s">
        <v>42</v>
      </c>
      <c r="E31" s="1" t="s">
        <v>212</v>
      </c>
      <c r="F31" s="1" t="s">
        <v>19</v>
      </c>
      <c r="G31" s="1" t="s">
        <v>213</v>
      </c>
      <c r="H31" s="1" t="s">
        <v>214</v>
      </c>
      <c r="I31" s="1" t="s">
        <v>215</v>
      </c>
      <c r="J31" s="1" t="s">
        <v>216</v>
      </c>
      <c r="K31" s="1" t="s">
        <v>217</v>
      </c>
      <c r="L31">
        <v>65000000</v>
      </c>
      <c r="M31">
        <v>133800000</v>
      </c>
      <c r="N31">
        <v>68800000</v>
      </c>
      <c r="O31">
        <v>105.85</v>
      </c>
      <c r="P31" t="s">
        <v>40</v>
      </c>
    </row>
    <row r="32" spans="1:16" x14ac:dyDescent="0.3">
      <c r="A32" s="1" t="s">
        <v>218</v>
      </c>
      <c r="B32" s="2">
        <v>42184</v>
      </c>
      <c r="C32">
        <v>2015</v>
      </c>
      <c r="D32" s="1" t="s">
        <v>25</v>
      </c>
      <c r="E32" s="1" t="s">
        <v>219</v>
      </c>
      <c r="F32" s="1" t="s">
        <v>19</v>
      </c>
      <c r="G32" s="1" t="s">
        <v>220</v>
      </c>
      <c r="H32" s="1" t="s">
        <v>221</v>
      </c>
      <c r="I32" s="1" t="s">
        <v>222</v>
      </c>
      <c r="J32" s="1" t="s">
        <v>217</v>
      </c>
      <c r="K32" s="1" t="s">
        <v>223</v>
      </c>
      <c r="L32">
        <v>130000000</v>
      </c>
      <c r="M32">
        <v>519400000</v>
      </c>
      <c r="N32">
        <v>389400000</v>
      </c>
      <c r="O32">
        <v>299.54000000000002</v>
      </c>
      <c r="P32" t="s">
        <v>40</v>
      </c>
    </row>
    <row r="33" spans="1:16" x14ac:dyDescent="0.3">
      <c r="A33" s="1" t="s">
        <v>224</v>
      </c>
      <c r="B33" s="2">
        <v>41194</v>
      </c>
      <c r="C33">
        <v>2012</v>
      </c>
      <c r="D33" s="1" t="s">
        <v>74</v>
      </c>
      <c r="E33" s="1" t="s">
        <v>225</v>
      </c>
      <c r="F33" s="1" t="s">
        <v>19</v>
      </c>
      <c r="G33" s="1" t="s">
        <v>225</v>
      </c>
      <c r="H33" s="1" t="s">
        <v>21</v>
      </c>
      <c r="I33" s="1" t="s">
        <v>226</v>
      </c>
      <c r="J33" s="1" t="s">
        <v>227</v>
      </c>
      <c r="K33" s="1" t="s">
        <v>228</v>
      </c>
      <c r="L33">
        <v>44500000</v>
      </c>
      <c r="M33">
        <v>232300000</v>
      </c>
      <c r="N33">
        <v>187800000</v>
      </c>
      <c r="O33">
        <v>422.02</v>
      </c>
      <c r="P33" t="s">
        <v>23</v>
      </c>
    </row>
    <row r="34" spans="1:16" x14ac:dyDescent="0.3">
      <c r="A34" s="1" t="s">
        <v>229</v>
      </c>
      <c r="B34" s="2">
        <v>41880</v>
      </c>
      <c r="C34">
        <v>2014</v>
      </c>
      <c r="D34" s="1" t="s">
        <v>138</v>
      </c>
      <c r="E34" s="1" t="s">
        <v>230</v>
      </c>
      <c r="F34" s="1" t="s">
        <v>19</v>
      </c>
      <c r="G34" s="1" t="s">
        <v>231</v>
      </c>
      <c r="H34" s="1" t="s">
        <v>232</v>
      </c>
      <c r="I34" s="1" t="s">
        <v>233</v>
      </c>
      <c r="J34" s="1" t="s">
        <v>234</v>
      </c>
      <c r="K34" s="1" t="s">
        <v>235</v>
      </c>
      <c r="L34">
        <v>5000000</v>
      </c>
      <c r="M34">
        <v>5000000</v>
      </c>
      <c r="N34">
        <v>0</v>
      </c>
      <c r="O34">
        <v>0</v>
      </c>
      <c r="P34" t="s">
        <v>32</v>
      </c>
    </row>
    <row r="35" spans="1:16" x14ac:dyDescent="0.3">
      <c r="A35" s="1" t="s">
        <v>236</v>
      </c>
      <c r="B35" s="2">
        <v>42580</v>
      </c>
      <c r="C35">
        <v>2016</v>
      </c>
      <c r="D35" s="1" t="s">
        <v>42</v>
      </c>
      <c r="E35" s="1" t="s">
        <v>237</v>
      </c>
      <c r="F35" s="1" t="s">
        <v>238</v>
      </c>
      <c r="G35" s="1" t="s">
        <v>239</v>
      </c>
      <c r="H35" s="1" t="s">
        <v>240</v>
      </c>
      <c r="I35" s="1" t="s">
        <v>241</v>
      </c>
      <c r="J35" s="1" t="s">
        <v>242</v>
      </c>
      <c r="K35" s="1" t="s">
        <v>243</v>
      </c>
      <c r="L35">
        <v>20000000</v>
      </c>
      <c r="M35">
        <v>124200000</v>
      </c>
      <c r="N35">
        <v>104200000</v>
      </c>
      <c r="O35">
        <v>521</v>
      </c>
      <c r="P35" t="s">
        <v>23</v>
      </c>
    </row>
    <row r="36" spans="1:16" x14ac:dyDescent="0.3">
      <c r="A36" s="1" t="s">
        <v>244</v>
      </c>
      <c r="B36" s="2">
        <v>42475</v>
      </c>
      <c r="C36">
        <v>2016</v>
      </c>
      <c r="D36" s="1" t="s">
        <v>42</v>
      </c>
      <c r="E36" s="1" t="s">
        <v>245</v>
      </c>
      <c r="F36" s="1" t="s">
        <v>19</v>
      </c>
      <c r="G36" s="1" t="s">
        <v>47</v>
      </c>
      <c r="H36" s="1" t="s">
        <v>93</v>
      </c>
      <c r="I36" s="1" t="s">
        <v>246</v>
      </c>
      <c r="J36" s="1" t="s">
        <v>247</v>
      </c>
      <c r="K36" s="1" t="s">
        <v>248</v>
      </c>
      <c r="L36">
        <v>20000000</v>
      </c>
      <c r="M36">
        <v>55000000</v>
      </c>
      <c r="N36">
        <v>35000000</v>
      </c>
      <c r="O36">
        <v>175</v>
      </c>
      <c r="P36" t="s">
        <v>40</v>
      </c>
    </row>
    <row r="37" spans="1:16" x14ac:dyDescent="0.3">
      <c r="A37" s="1" t="s">
        <v>249</v>
      </c>
      <c r="B37" s="2">
        <v>42448</v>
      </c>
      <c r="C37">
        <v>2016</v>
      </c>
      <c r="D37" s="1" t="s">
        <v>25</v>
      </c>
      <c r="E37" s="1" t="s">
        <v>250</v>
      </c>
      <c r="F37" s="1" t="s">
        <v>19</v>
      </c>
      <c r="G37" s="1" t="s">
        <v>225</v>
      </c>
      <c r="H37" s="1" t="s">
        <v>251</v>
      </c>
      <c r="I37" s="1" t="s">
        <v>252</v>
      </c>
      <c r="J37" s="1" t="s">
        <v>193</v>
      </c>
      <c r="K37" s="1" t="s">
        <v>253</v>
      </c>
      <c r="L37">
        <v>250000000</v>
      </c>
      <c r="M37">
        <v>872700000</v>
      </c>
      <c r="N37">
        <v>622700000</v>
      </c>
      <c r="O37">
        <v>249.08</v>
      </c>
      <c r="P37" t="s">
        <v>40</v>
      </c>
    </row>
    <row r="38" spans="1:16" x14ac:dyDescent="0.3">
      <c r="A38" s="1" t="s">
        <v>254</v>
      </c>
      <c r="B38" s="2">
        <v>42576</v>
      </c>
      <c r="C38">
        <v>2016</v>
      </c>
      <c r="D38" s="1" t="s">
        <v>25</v>
      </c>
      <c r="E38" s="1" t="s">
        <v>255</v>
      </c>
      <c r="F38" s="1" t="s">
        <v>256</v>
      </c>
      <c r="G38" s="1" t="s">
        <v>257</v>
      </c>
      <c r="H38" s="1" t="s">
        <v>258</v>
      </c>
      <c r="I38" s="1" t="s">
        <v>259</v>
      </c>
      <c r="J38" s="1" t="s">
        <v>260</v>
      </c>
      <c r="K38" s="1" t="s">
        <v>19</v>
      </c>
      <c r="L38">
        <v>3500000</v>
      </c>
      <c r="M38">
        <v>4400000</v>
      </c>
      <c r="N38">
        <v>900000</v>
      </c>
      <c r="O38">
        <v>25.71</v>
      </c>
      <c r="P38" t="s">
        <v>32</v>
      </c>
    </row>
    <row r="39" spans="1:16" x14ac:dyDescent="0.3">
      <c r="A39" s="1" t="s">
        <v>261</v>
      </c>
      <c r="B39" s="2">
        <v>41537</v>
      </c>
      <c r="C39">
        <v>2013</v>
      </c>
      <c r="D39" s="1" t="s">
        <v>262</v>
      </c>
      <c r="E39" s="1" t="s">
        <v>263</v>
      </c>
      <c r="F39" s="1" t="s">
        <v>19</v>
      </c>
      <c r="G39" s="1" t="s">
        <v>264</v>
      </c>
      <c r="H39" s="1" t="s">
        <v>265</v>
      </c>
      <c r="I39" s="1" t="s">
        <v>266</v>
      </c>
      <c r="J39" s="1" t="s">
        <v>267</v>
      </c>
      <c r="K39" s="1" t="s">
        <v>268</v>
      </c>
      <c r="L39">
        <v>20000000</v>
      </c>
      <c r="M39">
        <v>16500000</v>
      </c>
      <c r="N39">
        <v>-3500000</v>
      </c>
      <c r="O39">
        <v>-17.5</v>
      </c>
      <c r="P39" t="s">
        <v>72</v>
      </c>
    </row>
    <row r="40" spans="1:16" x14ac:dyDescent="0.3">
      <c r="A40" s="1" t="s">
        <v>269</v>
      </c>
      <c r="B40" s="2">
        <v>41047</v>
      </c>
      <c r="C40">
        <v>2012</v>
      </c>
      <c r="D40" s="1" t="s">
        <v>25</v>
      </c>
      <c r="E40" s="1" t="s">
        <v>270</v>
      </c>
      <c r="F40" s="1" t="s">
        <v>19</v>
      </c>
      <c r="G40" s="1" t="s">
        <v>271</v>
      </c>
      <c r="H40" s="1" t="s">
        <v>272</v>
      </c>
      <c r="I40" s="1" t="s">
        <v>273</v>
      </c>
      <c r="J40" s="1" t="s">
        <v>274</v>
      </c>
      <c r="K40" s="1" t="s">
        <v>127</v>
      </c>
      <c r="L40">
        <v>220000000</v>
      </c>
      <c r="M40">
        <v>303000000</v>
      </c>
      <c r="N40">
        <v>83000000</v>
      </c>
      <c r="O40">
        <v>37.729999999999997</v>
      </c>
      <c r="P40" t="s">
        <v>32</v>
      </c>
    </row>
    <row r="41" spans="1:16" x14ac:dyDescent="0.3">
      <c r="A41" s="1" t="s">
        <v>275</v>
      </c>
      <c r="B41" s="2">
        <v>41087</v>
      </c>
      <c r="C41">
        <v>2012</v>
      </c>
      <c r="D41" s="1" t="s">
        <v>74</v>
      </c>
      <c r="E41" s="1" t="s">
        <v>276</v>
      </c>
      <c r="F41" s="1" t="s">
        <v>19</v>
      </c>
      <c r="G41" s="1" t="s">
        <v>213</v>
      </c>
      <c r="H41" s="1" t="s">
        <v>277</v>
      </c>
      <c r="I41" s="1" t="s">
        <v>19</v>
      </c>
      <c r="J41" s="1" t="s">
        <v>19</v>
      </c>
      <c r="K41" s="1" t="s">
        <v>19</v>
      </c>
      <c r="L41">
        <v>1800000</v>
      </c>
      <c r="M41">
        <v>21900000</v>
      </c>
      <c r="N41">
        <v>20100000</v>
      </c>
      <c r="O41">
        <v>1116.67</v>
      </c>
      <c r="P41" t="s">
        <v>23</v>
      </c>
    </row>
    <row r="42" spans="1:16" x14ac:dyDescent="0.3">
      <c r="A42" s="1" t="s">
        <v>278</v>
      </c>
      <c r="B42" s="2">
        <v>41319</v>
      </c>
      <c r="C42">
        <v>2013</v>
      </c>
      <c r="D42" s="1" t="s">
        <v>279</v>
      </c>
      <c r="E42" s="1" t="s">
        <v>280</v>
      </c>
      <c r="F42" s="1" t="s">
        <v>19</v>
      </c>
      <c r="G42" s="1" t="s">
        <v>281</v>
      </c>
      <c r="H42" s="1" t="s">
        <v>282</v>
      </c>
      <c r="I42" s="1" t="s">
        <v>136</v>
      </c>
      <c r="J42" s="1" t="s">
        <v>283</v>
      </c>
      <c r="K42" s="1" t="s">
        <v>284</v>
      </c>
      <c r="L42">
        <v>60000000</v>
      </c>
      <c r="M42">
        <v>60100000</v>
      </c>
      <c r="N42">
        <v>100000</v>
      </c>
      <c r="O42">
        <v>0.17</v>
      </c>
      <c r="P42" t="s">
        <v>32</v>
      </c>
    </row>
    <row r="43" spans="1:16" x14ac:dyDescent="0.3">
      <c r="A43" s="1" t="s">
        <v>285</v>
      </c>
      <c r="B43" s="2">
        <v>41886</v>
      </c>
      <c r="C43">
        <v>2014</v>
      </c>
      <c r="D43" s="1" t="s">
        <v>286</v>
      </c>
      <c r="E43" s="1" t="s">
        <v>287</v>
      </c>
      <c r="F43" s="1" t="s">
        <v>19</v>
      </c>
      <c r="G43" s="1" t="s">
        <v>288</v>
      </c>
      <c r="H43" s="1" t="s">
        <v>289</v>
      </c>
      <c r="I43" s="1" t="s">
        <v>290</v>
      </c>
      <c r="J43" s="1" t="s">
        <v>291</v>
      </c>
      <c r="K43" s="1" t="s">
        <v>19</v>
      </c>
      <c r="L43">
        <v>22000000</v>
      </c>
      <c r="M43">
        <v>15100000</v>
      </c>
      <c r="N43">
        <v>-6900000</v>
      </c>
      <c r="O43">
        <v>-31.36</v>
      </c>
      <c r="P43" t="s">
        <v>72</v>
      </c>
    </row>
    <row r="44" spans="1:16" x14ac:dyDescent="0.3">
      <c r="A44" s="1" t="s">
        <v>292</v>
      </c>
      <c r="B44" s="2">
        <v>42601</v>
      </c>
      <c r="C44">
        <v>2016</v>
      </c>
      <c r="D44" s="1" t="s">
        <v>132</v>
      </c>
      <c r="E44" s="1" t="s">
        <v>139</v>
      </c>
      <c r="F44" s="1" t="s">
        <v>19</v>
      </c>
      <c r="G44" s="1" t="s">
        <v>293</v>
      </c>
      <c r="H44" s="1" t="s">
        <v>294</v>
      </c>
      <c r="I44" s="1" t="s">
        <v>295</v>
      </c>
      <c r="J44" s="1" t="s">
        <v>53</v>
      </c>
      <c r="K44" s="1" t="s">
        <v>296</v>
      </c>
      <c r="L44">
        <v>100000000</v>
      </c>
      <c r="M44">
        <v>41400000</v>
      </c>
      <c r="N44">
        <v>-58600000</v>
      </c>
      <c r="O44">
        <v>-58.6</v>
      </c>
      <c r="P44" t="s">
        <v>72</v>
      </c>
    </row>
    <row r="45" spans="1:16" x14ac:dyDescent="0.3">
      <c r="A45" s="1" t="s">
        <v>297</v>
      </c>
      <c r="B45" s="2">
        <v>41888</v>
      </c>
      <c r="C45">
        <v>2014</v>
      </c>
      <c r="D45" s="1" t="s">
        <v>166</v>
      </c>
      <c r="E45" s="1" t="s">
        <v>298</v>
      </c>
      <c r="F45" s="1" t="s">
        <v>19</v>
      </c>
      <c r="G45" s="1" t="s">
        <v>299</v>
      </c>
      <c r="H45" s="1" t="s">
        <v>300</v>
      </c>
      <c r="I45" s="1" t="s">
        <v>301</v>
      </c>
      <c r="J45" s="1" t="s">
        <v>302</v>
      </c>
      <c r="K45" s="1" t="s">
        <v>19</v>
      </c>
      <c r="L45">
        <v>7000000</v>
      </c>
      <c r="M45">
        <v>14600000</v>
      </c>
      <c r="N45">
        <v>7600000</v>
      </c>
      <c r="O45">
        <v>108.57</v>
      </c>
      <c r="P45" t="s">
        <v>40</v>
      </c>
    </row>
    <row r="46" spans="1:16" x14ac:dyDescent="0.3">
      <c r="A46" s="1" t="s">
        <v>303</v>
      </c>
      <c r="B46" s="2">
        <v>41998</v>
      </c>
      <c r="C46">
        <v>2014</v>
      </c>
      <c r="D46" s="1" t="s">
        <v>59</v>
      </c>
      <c r="E46" s="1" t="s">
        <v>304</v>
      </c>
      <c r="F46" s="1" t="s">
        <v>19</v>
      </c>
      <c r="G46" s="1" t="s">
        <v>252</v>
      </c>
      <c r="H46" s="1" t="s">
        <v>305</v>
      </c>
      <c r="I46" s="1" t="s">
        <v>306</v>
      </c>
      <c r="J46" s="1" t="s">
        <v>307</v>
      </c>
      <c r="K46" s="1" t="s">
        <v>308</v>
      </c>
      <c r="L46">
        <v>10000000</v>
      </c>
      <c r="M46">
        <v>29300000</v>
      </c>
      <c r="N46">
        <v>19300000</v>
      </c>
      <c r="O46">
        <v>193</v>
      </c>
      <c r="P46" t="s">
        <v>40</v>
      </c>
    </row>
    <row r="47" spans="1:16" x14ac:dyDescent="0.3">
      <c r="A47" s="1" t="s">
        <v>309</v>
      </c>
      <c r="B47" s="2">
        <v>42251</v>
      </c>
      <c r="C47">
        <v>2015</v>
      </c>
      <c r="D47" s="1" t="s">
        <v>25</v>
      </c>
      <c r="E47" s="1" t="s">
        <v>310</v>
      </c>
      <c r="F47" s="1" t="s">
        <v>19</v>
      </c>
      <c r="G47" s="1" t="s">
        <v>311</v>
      </c>
      <c r="H47" s="1" t="s">
        <v>312</v>
      </c>
      <c r="I47" s="1" t="s">
        <v>313</v>
      </c>
      <c r="J47" s="1" t="s">
        <v>188</v>
      </c>
      <c r="K47" s="1" t="s">
        <v>314</v>
      </c>
      <c r="L47">
        <v>53000000</v>
      </c>
      <c r="M47">
        <v>99800000</v>
      </c>
      <c r="N47">
        <v>46800000</v>
      </c>
      <c r="O47">
        <v>88.3</v>
      </c>
      <c r="P47" t="s">
        <v>32</v>
      </c>
    </row>
    <row r="48" spans="1:16" x14ac:dyDescent="0.3">
      <c r="A48" s="1" t="s">
        <v>315</v>
      </c>
      <c r="B48" s="2">
        <v>42012</v>
      </c>
      <c r="C48">
        <v>2015</v>
      </c>
      <c r="D48" s="1" t="s">
        <v>25</v>
      </c>
      <c r="E48" s="1" t="s">
        <v>316</v>
      </c>
      <c r="F48" s="1" t="s">
        <v>19</v>
      </c>
      <c r="G48" s="1" t="s">
        <v>317</v>
      </c>
      <c r="H48" s="1" t="s">
        <v>281</v>
      </c>
      <c r="I48" s="1" t="s">
        <v>318</v>
      </c>
      <c r="J48" s="1" t="s">
        <v>319</v>
      </c>
      <c r="K48" s="1" t="s">
        <v>320</v>
      </c>
      <c r="L48">
        <v>70000000</v>
      </c>
      <c r="M48">
        <v>19700000</v>
      </c>
      <c r="N48">
        <v>-50300000</v>
      </c>
      <c r="O48">
        <v>-71.86</v>
      </c>
      <c r="P48" t="s">
        <v>72</v>
      </c>
    </row>
    <row r="49" spans="1:16" x14ac:dyDescent="0.3">
      <c r="A49" s="1" t="s">
        <v>321</v>
      </c>
      <c r="B49" s="2">
        <v>41782</v>
      </c>
      <c r="C49">
        <v>2014</v>
      </c>
      <c r="D49" s="1" t="s">
        <v>42</v>
      </c>
      <c r="E49" s="1" t="s">
        <v>322</v>
      </c>
      <c r="F49" s="1" t="s">
        <v>19</v>
      </c>
      <c r="G49" s="1" t="s">
        <v>323</v>
      </c>
      <c r="H49" s="1" t="s">
        <v>324</v>
      </c>
      <c r="I49" s="1" t="s">
        <v>178</v>
      </c>
      <c r="J49" s="1" t="s">
        <v>325</v>
      </c>
      <c r="K49" s="1" t="s">
        <v>326</v>
      </c>
      <c r="L49">
        <v>40000000</v>
      </c>
      <c r="M49">
        <v>128000000</v>
      </c>
      <c r="N49">
        <v>88000000</v>
      </c>
      <c r="O49">
        <v>220</v>
      </c>
      <c r="P49" t="s">
        <v>40</v>
      </c>
    </row>
    <row r="50" spans="1:16" x14ac:dyDescent="0.3">
      <c r="A50" s="1" t="s">
        <v>327</v>
      </c>
      <c r="B50" s="2">
        <v>41481</v>
      </c>
      <c r="C50">
        <v>2013</v>
      </c>
      <c r="D50" s="1" t="s">
        <v>74</v>
      </c>
      <c r="E50" s="1" t="s">
        <v>328</v>
      </c>
      <c r="F50" s="1" t="s">
        <v>19</v>
      </c>
      <c r="G50" s="1" t="s">
        <v>170</v>
      </c>
      <c r="H50" s="1" t="s">
        <v>329</v>
      </c>
      <c r="I50" s="1" t="s">
        <v>217</v>
      </c>
      <c r="J50" s="1" t="s">
        <v>330</v>
      </c>
      <c r="K50" s="1" t="s">
        <v>331</v>
      </c>
      <c r="L50">
        <v>18000000</v>
      </c>
      <c r="M50">
        <v>97500000</v>
      </c>
      <c r="N50">
        <v>79500000</v>
      </c>
      <c r="O50">
        <v>441.67</v>
      </c>
      <c r="P50" t="s">
        <v>23</v>
      </c>
    </row>
    <row r="51" spans="1:16" x14ac:dyDescent="0.3">
      <c r="A51" s="1" t="s">
        <v>332</v>
      </c>
      <c r="B51" s="2">
        <v>41658</v>
      </c>
      <c r="C51">
        <v>2014</v>
      </c>
      <c r="D51" s="1" t="s">
        <v>74</v>
      </c>
      <c r="E51" s="1" t="s">
        <v>333</v>
      </c>
      <c r="F51" s="1" t="s">
        <v>19</v>
      </c>
      <c r="G51" s="1" t="s">
        <v>334</v>
      </c>
      <c r="H51" s="1" t="s">
        <v>335</v>
      </c>
      <c r="I51" s="1" t="s">
        <v>336</v>
      </c>
      <c r="J51" s="1" t="s">
        <v>19</v>
      </c>
      <c r="K51" s="1" t="s">
        <v>19</v>
      </c>
      <c r="L51">
        <v>4000000</v>
      </c>
      <c r="M51">
        <v>44500000</v>
      </c>
      <c r="N51">
        <v>40500000</v>
      </c>
      <c r="O51">
        <v>1012.5</v>
      </c>
      <c r="P51" t="s">
        <v>23</v>
      </c>
    </row>
    <row r="52" spans="1:16" x14ac:dyDescent="0.3">
      <c r="A52" s="1" t="s">
        <v>337</v>
      </c>
      <c r="B52" s="2">
        <v>41752</v>
      </c>
      <c r="C52">
        <v>2014</v>
      </c>
      <c r="D52" s="1" t="s">
        <v>25</v>
      </c>
      <c r="E52" s="1" t="s">
        <v>338</v>
      </c>
      <c r="F52" s="1" t="s">
        <v>19</v>
      </c>
      <c r="G52" s="1" t="s">
        <v>339</v>
      </c>
      <c r="H52" s="1" t="s">
        <v>340</v>
      </c>
      <c r="I52" s="1" t="s">
        <v>341</v>
      </c>
      <c r="J52" s="1" t="s">
        <v>19</v>
      </c>
      <c r="K52" s="1" t="s">
        <v>19</v>
      </c>
      <c r="L52">
        <v>23000000</v>
      </c>
      <c r="M52">
        <v>69000000</v>
      </c>
      <c r="N52">
        <v>46000000</v>
      </c>
      <c r="O52">
        <v>200</v>
      </c>
      <c r="P52" t="s">
        <v>40</v>
      </c>
    </row>
    <row r="53" spans="1:16" x14ac:dyDescent="0.3">
      <c r="A53" s="1" t="s">
        <v>342</v>
      </c>
      <c r="B53" s="2">
        <v>42281</v>
      </c>
      <c r="C53">
        <v>2015</v>
      </c>
      <c r="D53" s="1" t="s">
        <v>74</v>
      </c>
      <c r="E53" s="1" t="s">
        <v>343</v>
      </c>
      <c r="F53" s="1" t="s">
        <v>19</v>
      </c>
      <c r="G53" s="1" t="s">
        <v>344</v>
      </c>
      <c r="H53" s="1" t="s">
        <v>345</v>
      </c>
      <c r="I53" s="1" t="s">
        <v>346</v>
      </c>
      <c r="J53" s="1" t="s">
        <v>347</v>
      </c>
      <c r="K53" s="1" t="s">
        <v>348</v>
      </c>
      <c r="L53">
        <v>40000000</v>
      </c>
      <c r="M53">
        <v>165500000</v>
      </c>
      <c r="N53">
        <v>125500000</v>
      </c>
      <c r="O53">
        <v>313.75</v>
      </c>
      <c r="P53" t="s">
        <v>23</v>
      </c>
    </row>
    <row r="54" spans="1:16" x14ac:dyDescent="0.3">
      <c r="A54" s="1" t="s">
        <v>349</v>
      </c>
      <c r="B54" s="2">
        <v>42030</v>
      </c>
      <c r="C54">
        <v>2015</v>
      </c>
      <c r="D54" s="1" t="s">
        <v>74</v>
      </c>
      <c r="E54" s="1" t="s">
        <v>350</v>
      </c>
      <c r="F54" s="1" t="s">
        <v>19</v>
      </c>
      <c r="G54" s="1" t="s">
        <v>351</v>
      </c>
      <c r="H54" s="1" t="s">
        <v>352</v>
      </c>
      <c r="I54" s="1" t="s">
        <v>353</v>
      </c>
      <c r="J54" s="1" t="s">
        <v>354</v>
      </c>
      <c r="K54" s="1" t="s">
        <v>355</v>
      </c>
      <c r="L54">
        <v>11000000</v>
      </c>
      <c r="M54">
        <v>62100000</v>
      </c>
      <c r="N54">
        <v>51100000</v>
      </c>
      <c r="O54">
        <v>464.55</v>
      </c>
      <c r="P54" t="s">
        <v>23</v>
      </c>
    </row>
    <row r="55" spans="1:16" x14ac:dyDescent="0.3">
      <c r="A55" s="1" t="s">
        <v>356</v>
      </c>
      <c r="B55" s="2">
        <v>41306</v>
      </c>
      <c r="C55">
        <v>2013</v>
      </c>
      <c r="D55" s="1" t="s">
        <v>125</v>
      </c>
      <c r="E55" s="1" t="s">
        <v>357</v>
      </c>
      <c r="F55" s="1" t="s">
        <v>19</v>
      </c>
      <c r="G55" s="1" t="s">
        <v>358</v>
      </c>
      <c r="H55" s="1" t="s">
        <v>359</v>
      </c>
      <c r="I55" s="1" t="s">
        <v>360</v>
      </c>
      <c r="J55" s="1" t="s">
        <v>361</v>
      </c>
      <c r="K55" s="1" t="s">
        <v>362</v>
      </c>
      <c r="L55">
        <v>55000000</v>
      </c>
      <c r="M55">
        <v>21900000</v>
      </c>
      <c r="N55">
        <v>-33100000</v>
      </c>
      <c r="O55">
        <v>-60.18</v>
      </c>
      <c r="P55" t="s">
        <v>72</v>
      </c>
    </row>
    <row r="56" spans="1:16" x14ac:dyDescent="0.3">
      <c r="A56" s="1" t="s">
        <v>363</v>
      </c>
      <c r="B56" s="2">
        <v>42283</v>
      </c>
      <c r="C56">
        <v>2015</v>
      </c>
      <c r="D56" s="1" t="s">
        <v>42</v>
      </c>
      <c r="E56" s="1" t="s">
        <v>364</v>
      </c>
      <c r="F56" s="1" t="s">
        <v>19</v>
      </c>
      <c r="G56" s="1" t="s">
        <v>168</v>
      </c>
      <c r="H56" s="1" t="s">
        <v>365</v>
      </c>
      <c r="I56" s="1" t="s">
        <v>136</v>
      </c>
      <c r="J56" s="1" t="s">
        <v>188</v>
      </c>
      <c r="K56" s="1" t="s">
        <v>366</v>
      </c>
      <c r="L56">
        <v>20000000</v>
      </c>
      <c r="M56">
        <v>36600000</v>
      </c>
      <c r="N56">
        <v>16600000</v>
      </c>
      <c r="O56">
        <v>83</v>
      </c>
      <c r="P56" t="s">
        <v>32</v>
      </c>
    </row>
    <row r="57" spans="1:16" x14ac:dyDescent="0.3">
      <c r="A57" s="1" t="s">
        <v>367</v>
      </c>
      <c r="B57" s="2">
        <v>42313</v>
      </c>
      <c r="C57">
        <v>2015</v>
      </c>
      <c r="D57" s="1" t="s">
        <v>74</v>
      </c>
      <c r="E57" s="1" t="s">
        <v>368</v>
      </c>
      <c r="F57" s="1" t="s">
        <v>19</v>
      </c>
      <c r="G57" s="1" t="s">
        <v>368</v>
      </c>
      <c r="H57" s="1" t="s">
        <v>369</v>
      </c>
      <c r="I57" s="1" t="s">
        <v>370</v>
      </c>
      <c r="J57" s="1" t="s">
        <v>371</v>
      </c>
      <c r="K57" s="1" t="s">
        <v>372</v>
      </c>
      <c r="L57">
        <v>10000000</v>
      </c>
      <c r="M57">
        <v>3300000</v>
      </c>
      <c r="N57">
        <v>-6700000</v>
      </c>
      <c r="O57">
        <v>-67</v>
      </c>
      <c r="P57" t="s">
        <v>72</v>
      </c>
    </row>
    <row r="58" spans="1:16" x14ac:dyDescent="0.3">
      <c r="A58" s="1" t="s">
        <v>373</v>
      </c>
      <c r="B58" s="2">
        <v>41711</v>
      </c>
      <c r="C58">
        <v>2014</v>
      </c>
      <c r="D58" s="1" t="s">
        <v>25</v>
      </c>
      <c r="E58" s="1" t="s">
        <v>374</v>
      </c>
      <c r="F58" s="1" t="s">
        <v>375</v>
      </c>
      <c r="G58" s="1" t="s">
        <v>376</v>
      </c>
      <c r="H58" s="1" t="s">
        <v>377</v>
      </c>
      <c r="I58" s="1" t="s">
        <v>378</v>
      </c>
      <c r="J58" s="1" t="s">
        <v>142</v>
      </c>
      <c r="K58" s="1" t="s">
        <v>379</v>
      </c>
      <c r="L58">
        <v>170000000</v>
      </c>
      <c r="M58">
        <v>714400000</v>
      </c>
      <c r="N58">
        <v>544400000</v>
      </c>
      <c r="O58">
        <v>320.24</v>
      </c>
      <c r="P58" t="s">
        <v>23</v>
      </c>
    </row>
    <row r="59" spans="1:16" x14ac:dyDescent="0.3">
      <c r="A59" s="1" t="s">
        <v>380</v>
      </c>
      <c r="B59" s="2">
        <v>42265</v>
      </c>
      <c r="C59">
        <v>2015</v>
      </c>
      <c r="D59" s="1" t="s">
        <v>125</v>
      </c>
      <c r="E59" s="1" t="s">
        <v>381</v>
      </c>
      <c r="F59" s="1" t="s">
        <v>19</v>
      </c>
      <c r="G59" s="1" t="s">
        <v>108</v>
      </c>
      <c r="H59" s="1" t="s">
        <v>382</v>
      </c>
      <c r="I59" s="1" t="s">
        <v>383</v>
      </c>
      <c r="J59" s="1" t="s">
        <v>384</v>
      </c>
      <c r="K59" s="1" t="s">
        <v>385</v>
      </c>
      <c r="L59">
        <v>2000000</v>
      </c>
      <c r="M59">
        <v>2800000</v>
      </c>
      <c r="N59">
        <v>800000</v>
      </c>
      <c r="O59">
        <v>40</v>
      </c>
      <c r="P59" t="s">
        <v>32</v>
      </c>
    </row>
    <row r="60" spans="1:16" x14ac:dyDescent="0.3">
      <c r="A60" s="1" t="s">
        <v>386</v>
      </c>
      <c r="B60" s="2">
        <v>42141</v>
      </c>
      <c r="C60">
        <v>2015</v>
      </c>
      <c r="D60" s="1" t="s">
        <v>74</v>
      </c>
      <c r="E60" s="1" t="s">
        <v>387</v>
      </c>
      <c r="F60" s="1" t="s">
        <v>19</v>
      </c>
      <c r="G60" s="1" t="s">
        <v>329</v>
      </c>
      <c r="H60" s="1" t="s">
        <v>154</v>
      </c>
      <c r="I60" s="1" t="s">
        <v>388</v>
      </c>
      <c r="J60" s="1" t="s">
        <v>389</v>
      </c>
      <c r="K60" s="1" t="s">
        <v>390</v>
      </c>
      <c r="L60">
        <v>11800000</v>
      </c>
      <c r="M60">
        <v>40300000</v>
      </c>
      <c r="N60">
        <v>28500000</v>
      </c>
      <c r="O60">
        <v>241.53</v>
      </c>
      <c r="P60" t="s">
        <v>40</v>
      </c>
    </row>
    <row r="61" spans="1:16" x14ac:dyDescent="0.3">
      <c r="A61" s="1" t="s">
        <v>391</v>
      </c>
      <c r="B61" s="2">
        <v>42531</v>
      </c>
      <c r="C61">
        <v>2016</v>
      </c>
      <c r="D61" s="1" t="s">
        <v>25</v>
      </c>
      <c r="E61" s="1" t="s">
        <v>392</v>
      </c>
      <c r="F61" s="1" t="s">
        <v>19</v>
      </c>
      <c r="G61" s="1" t="s">
        <v>393</v>
      </c>
      <c r="H61" s="1" t="s">
        <v>394</v>
      </c>
      <c r="I61" s="1" t="s">
        <v>346</v>
      </c>
      <c r="J61" s="1" t="s">
        <v>101</v>
      </c>
      <c r="K61" s="1" t="s">
        <v>19</v>
      </c>
      <c r="L61">
        <v>50000000</v>
      </c>
      <c r="M61">
        <v>212200000</v>
      </c>
      <c r="N61">
        <v>162200000</v>
      </c>
      <c r="O61">
        <v>324.39999999999998</v>
      </c>
      <c r="P61" t="s">
        <v>23</v>
      </c>
    </row>
    <row r="62" spans="1:16" x14ac:dyDescent="0.3">
      <c r="A62" s="1" t="s">
        <v>395</v>
      </c>
      <c r="B62" s="2">
        <v>41682</v>
      </c>
      <c r="C62">
        <v>2014</v>
      </c>
      <c r="D62" s="1" t="s">
        <v>74</v>
      </c>
      <c r="E62" s="1" t="s">
        <v>396</v>
      </c>
      <c r="F62" s="1" t="s">
        <v>19</v>
      </c>
      <c r="G62" s="1" t="s">
        <v>223</v>
      </c>
      <c r="H62" s="1" t="s">
        <v>397</v>
      </c>
      <c r="I62" s="1" t="s">
        <v>398</v>
      </c>
      <c r="J62" s="1" t="s">
        <v>399</v>
      </c>
      <c r="K62" s="1" t="s">
        <v>19</v>
      </c>
      <c r="L62">
        <v>10000000</v>
      </c>
      <c r="M62">
        <v>6700000</v>
      </c>
      <c r="N62">
        <v>-3300000</v>
      </c>
      <c r="O62">
        <v>-33</v>
      </c>
      <c r="P62" t="s">
        <v>72</v>
      </c>
    </row>
    <row r="63" spans="1:16" x14ac:dyDescent="0.3">
      <c r="A63" s="1" t="s">
        <v>400</v>
      </c>
      <c r="B63" s="2">
        <v>42067</v>
      </c>
      <c r="C63">
        <v>2015</v>
      </c>
      <c r="D63" s="1" t="s">
        <v>145</v>
      </c>
      <c r="E63" s="1" t="s">
        <v>401</v>
      </c>
      <c r="F63" s="1" t="s">
        <v>19</v>
      </c>
      <c r="G63" s="1" t="s">
        <v>402</v>
      </c>
      <c r="H63" s="1" t="s">
        <v>403</v>
      </c>
      <c r="I63" s="1" t="s">
        <v>404</v>
      </c>
      <c r="J63" s="1" t="s">
        <v>405</v>
      </c>
      <c r="K63" s="1" t="s">
        <v>406</v>
      </c>
      <c r="L63">
        <v>49000000</v>
      </c>
      <c r="M63">
        <v>102100000</v>
      </c>
      <c r="N63">
        <v>53100000</v>
      </c>
      <c r="O63">
        <v>108.37</v>
      </c>
      <c r="P63" t="s">
        <v>40</v>
      </c>
    </row>
    <row r="64" spans="1:16" x14ac:dyDescent="0.3">
      <c r="A64" s="1" t="s">
        <v>407</v>
      </c>
      <c r="B64" s="2">
        <v>41208</v>
      </c>
      <c r="C64">
        <v>2012</v>
      </c>
      <c r="D64" s="1" t="s">
        <v>59</v>
      </c>
      <c r="E64" s="1" t="s">
        <v>408</v>
      </c>
      <c r="F64" s="1" t="s">
        <v>409</v>
      </c>
      <c r="G64" s="1" t="s">
        <v>410</v>
      </c>
      <c r="H64" s="1" t="s">
        <v>411</v>
      </c>
      <c r="I64" s="1" t="s">
        <v>412</v>
      </c>
      <c r="J64" s="1" t="s">
        <v>413</v>
      </c>
      <c r="K64" s="1" t="s">
        <v>19</v>
      </c>
      <c r="L64">
        <v>20000000</v>
      </c>
      <c r="M64">
        <v>8300000</v>
      </c>
      <c r="N64">
        <v>-11700000</v>
      </c>
      <c r="O64">
        <v>-58.5</v>
      </c>
      <c r="P64" t="s">
        <v>72</v>
      </c>
    </row>
    <row r="65" spans="1:16" x14ac:dyDescent="0.3">
      <c r="A65" s="1" t="s">
        <v>414</v>
      </c>
      <c r="B65" s="2">
        <v>41705</v>
      </c>
      <c r="C65">
        <v>2014</v>
      </c>
      <c r="D65" s="1" t="s">
        <v>42</v>
      </c>
      <c r="E65" s="1" t="s">
        <v>415</v>
      </c>
      <c r="F65" s="1" t="s">
        <v>19</v>
      </c>
      <c r="G65" s="1" t="s">
        <v>415</v>
      </c>
      <c r="H65" s="1" t="s">
        <v>416</v>
      </c>
      <c r="I65" s="1" t="s">
        <v>377</v>
      </c>
      <c r="J65" s="1" t="s">
        <v>197</v>
      </c>
      <c r="K65" s="1" t="s">
        <v>417</v>
      </c>
      <c r="L65">
        <v>11000000</v>
      </c>
      <c r="M65">
        <v>46000000</v>
      </c>
      <c r="N65">
        <v>35000000</v>
      </c>
      <c r="O65">
        <v>318.18</v>
      </c>
      <c r="P65" t="s">
        <v>23</v>
      </c>
    </row>
    <row r="66" spans="1:16" x14ac:dyDescent="0.3">
      <c r="A66" s="1" t="s">
        <v>418</v>
      </c>
      <c r="B66" s="2">
        <v>41054</v>
      </c>
      <c r="C66">
        <v>2012</v>
      </c>
      <c r="D66" s="1" t="s">
        <v>138</v>
      </c>
      <c r="E66" s="1" t="s">
        <v>419</v>
      </c>
      <c r="F66" s="1" t="s">
        <v>19</v>
      </c>
      <c r="G66" s="1" t="s">
        <v>420</v>
      </c>
      <c r="H66" s="1" t="s">
        <v>421</v>
      </c>
      <c r="I66" s="1" t="s">
        <v>422</v>
      </c>
      <c r="J66" s="1" t="s">
        <v>423</v>
      </c>
      <c r="K66" s="1" t="s">
        <v>424</v>
      </c>
      <c r="L66">
        <v>1000000</v>
      </c>
      <c r="M66">
        <v>37200000</v>
      </c>
      <c r="N66">
        <v>36200000</v>
      </c>
      <c r="O66">
        <v>3620</v>
      </c>
      <c r="P66" t="s">
        <v>23</v>
      </c>
    </row>
    <row r="67" spans="1:16" x14ac:dyDescent="0.3">
      <c r="A67" s="1" t="s">
        <v>425</v>
      </c>
      <c r="B67" s="2">
        <v>42111</v>
      </c>
      <c r="C67">
        <v>2015</v>
      </c>
      <c r="D67" s="1" t="s">
        <v>74</v>
      </c>
      <c r="E67" s="1" t="s">
        <v>426</v>
      </c>
      <c r="F67" s="1" t="s">
        <v>19</v>
      </c>
      <c r="G67" s="1" t="s">
        <v>427</v>
      </c>
      <c r="H67" s="1" t="s">
        <v>428</v>
      </c>
      <c r="I67" s="1" t="s">
        <v>429</v>
      </c>
      <c r="J67" s="1" t="s">
        <v>430</v>
      </c>
      <c r="K67" s="1" t="s">
        <v>431</v>
      </c>
      <c r="L67">
        <v>50000000</v>
      </c>
      <c r="M67">
        <v>13000000</v>
      </c>
      <c r="N67">
        <v>-37000000</v>
      </c>
      <c r="O67">
        <v>-74</v>
      </c>
      <c r="P67" t="s">
        <v>72</v>
      </c>
    </row>
    <row r="68" spans="1:16" x14ac:dyDescent="0.3">
      <c r="A68" s="1" t="s">
        <v>432</v>
      </c>
      <c r="B68" s="2">
        <v>40942</v>
      </c>
      <c r="C68">
        <v>2012</v>
      </c>
      <c r="D68" s="1" t="s">
        <v>145</v>
      </c>
      <c r="E68" s="1" t="s">
        <v>433</v>
      </c>
      <c r="F68" s="1" t="s">
        <v>19</v>
      </c>
      <c r="G68" s="1" t="s">
        <v>434</v>
      </c>
      <c r="H68" s="1" t="s">
        <v>435</v>
      </c>
      <c r="I68" s="1" t="s">
        <v>436</v>
      </c>
      <c r="J68" s="1" t="s">
        <v>437</v>
      </c>
      <c r="K68" s="1" t="s">
        <v>19</v>
      </c>
      <c r="L68">
        <v>12000000</v>
      </c>
      <c r="M68">
        <v>126600000</v>
      </c>
      <c r="N68">
        <v>114600000</v>
      </c>
      <c r="O68">
        <v>955</v>
      </c>
      <c r="P68" t="s">
        <v>23</v>
      </c>
    </row>
    <row r="69" spans="1:16" x14ac:dyDescent="0.3">
      <c r="A69" s="1" t="s">
        <v>438</v>
      </c>
      <c r="B69" s="2">
        <v>41208</v>
      </c>
      <c r="C69">
        <v>2012</v>
      </c>
      <c r="D69" s="1" t="s">
        <v>74</v>
      </c>
      <c r="E69" s="1" t="s">
        <v>439</v>
      </c>
      <c r="F69" s="1" t="s">
        <v>440</v>
      </c>
      <c r="G69" s="1" t="s">
        <v>344</v>
      </c>
      <c r="H69" s="1" t="s">
        <v>441</v>
      </c>
      <c r="I69" s="1" t="s">
        <v>442</v>
      </c>
      <c r="J69" s="1" t="s">
        <v>354</v>
      </c>
      <c r="K69" s="1" t="s">
        <v>443</v>
      </c>
      <c r="L69">
        <v>128500000</v>
      </c>
      <c r="M69">
        <v>130500000</v>
      </c>
      <c r="N69">
        <v>2000000</v>
      </c>
      <c r="O69">
        <v>1.56</v>
      </c>
      <c r="P69" t="s">
        <v>32</v>
      </c>
    </row>
    <row r="70" spans="1:16" x14ac:dyDescent="0.3">
      <c r="A70" s="1" t="s">
        <v>444</v>
      </c>
      <c r="B70" s="2">
        <v>41544</v>
      </c>
      <c r="C70">
        <v>2013</v>
      </c>
      <c r="D70" s="1" t="s">
        <v>445</v>
      </c>
      <c r="E70" s="1" t="s">
        <v>446</v>
      </c>
      <c r="F70" s="1" t="s">
        <v>447</v>
      </c>
      <c r="G70" s="1" t="s">
        <v>448</v>
      </c>
      <c r="H70" s="1" t="s">
        <v>449</v>
      </c>
      <c r="I70" s="1" t="s">
        <v>450</v>
      </c>
      <c r="J70" s="1" t="s">
        <v>451</v>
      </c>
      <c r="K70" s="1" t="s">
        <v>452</v>
      </c>
      <c r="L70">
        <v>78000000</v>
      </c>
      <c r="M70">
        <v>274300000</v>
      </c>
      <c r="N70">
        <v>196300000</v>
      </c>
      <c r="O70">
        <v>251.67</v>
      </c>
      <c r="P70" t="s">
        <v>40</v>
      </c>
    </row>
    <row r="71" spans="1:16" x14ac:dyDescent="0.3">
      <c r="A71" s="1" t="s">
        <v>453</v>
      </c>
      <c r="B71" s="2">
        <v>42363</v>
      </c>
      <c r="C71">
        <v>2015</v>
      </c>
      <c r="D71" s="1" t="s">
        <v>74</v>
      </c>
      <c r="E71" s="1" t="s">
        <v>454</v>
      </c>
      <c r="F71" s="1" t="s">
        <v>19</v>
      </c>
      <c r="G71" s="1" t="s">
        <v>148</v>
      </c>
      <c r="H71" s="1" t="s">
        <v>170</v>
      </c>
      <c r="I71" s="1" t="s">
        <v>299</v>
      </c>
      <c r="J71" s="1" t="s">
        <v>109</v>
      </c>
      <c r="K71" s="1" t="s">
        <v>455</v>
      </c>
      <c r="L71">
        <v>57000000</v>
      </c>
      <c r="M71">
        <v>50300000</v>
      </c>
      <c r="N71">
        <v>-6700000</v>
      </c>
      <c r="O71">
        <v>-11.75</v>
      </c>
      <c r="P71" t="s">
        <v>72</v>
      </c>
    </row>
    <row r="72" spans="1:16" x14ac:dyDescent="0.3">
      <c r="A72" s="1" t="s">
        <v>456</v>
      </c>
      <c r="B72" s="2">
        <v>42333</v>
      </c>
      <c r="C72">
        <v>2015</v>
      </c>
      <c r="D72" s="1" t="s">
        <v>74</v>
      </c>
      <c r="E72" s="1" t="s">
        <v>457</v>
      </c>
      <c r="F72" s="1" t="s">
        <v>19</v>
      </c>
      <c r="G72" s="1" t="s">
        <v>435</v>
      </c>
      <c r="H72" s="1" t="s">
        <v>358</v>
      </c>
      <c r="I72" s="1" t="s">
        <v>458</v>
      </c>
      <c r="J72" s="1" t="s">
        <v>459</v>
      </c>
      <c r="K72" s="1" t="s">
        <v>460</v>
      </c>
      <c r="L72">
        <v>40000000</v>
      </c>
      <c r="M72">
        <v>173600000</v>
      </c>
      <c r="N72">
        <v>133600000</v>
      </c>
      <c r="O72">
        <v>334</v>
      </c>
      <c r="P72" t="s">
        <v>23</v>
      </c>
    </row>
    <row r="73" spans="1:16" x14ac:dyDescent="0.3">
      <c r="A73" s="1" t="s">
        <v>461</v>
      </c>
      <c r="B73" s="2">
        <v>42475</v>
      </c>
      <c r="C73">
        <v>2016</v>
      </c>
      <c r="D73" s="1" t="s">
        <v>25</v>
      </c>
      <c r="E73" s="1" t="s">
        <v>462</v>
      </c>
      <c r="F73" s="1" t="s">
        <v>19</v>
      </c>
      <c r="G73" s="1" t="s">
        <v>463</v>
      </c>
      <c r="H73" s="1" t="s">
        <v>428</v>
      </c>
      <c r="I73" s="1" t="s">
        <v>464</v>
      </c>
      <c r="J73" s="1" t="s">
        <v>465</v>
      </c>
      <c r="K73" s="1" t="s">
        <v>466</v>
      </c>
      <c r="L73">
        <v>31500000</v>
      </c>
      <c r="M73">
        <v>35600000</v>
      </c>
      <c r="N73">
        <v>4100000</v>
      </c>
      <c r="O73">
        <v>13.02</v>
      </c>
      <c r="P73" t="s">
        <v>32</v>
      </c>
    </row>
    <row r="74" spans="1:16" x14ac:dyDescent="0.3">
      <c r="A74" s="1" t="s">
        <v>467</v>
      </c>
      <c r="B74" s="2">
        <v>42293</v>
      </c>
      <c r="C74">
        <v>2015</v>
      </c>
      <c r="D74" s="1" t="s">
        <v>138</v>
      </c>
      <c r="E74" s="1" t="s">
        <v>468</v>
      </c>
      <c r="F74" s="1" t="s">
        <v>19</v>
      </c>
      <c r="G74" s="1" t="s">
        <v>469</v>
      </c>
      <c r="H74" s="1" t="s">
        <v>470</v>
      </c>
      <c r="I74" s="1" t="s">
        <v>471</v>
      </c>
      <c r="J74" s="1" t="s">
        <v>106</v>
      </c>
      <c r="K74" s="1" t="s">
        <v>472</v>
      </c>
      <c r="L74">
        <v>55000000</v>
      </c>
      <c r="M74">
        <v>74700000</v>
      </c>
      <c r="N74">
        <v>19700000</v>
      </c>
      <c r="O74">
        <v>35.82</v>
      </c>
      <c r="P74" t="s">
        <v>32</v>
      </c>
    </row>
    <row r="75" spans="1:16" x14ac:dyDescent="0.3">
      <c r="A75" s="1" t="s">
        <v>473</v>
      </c>
      <c r="B75" s="2">
        <v>42363</v>
      </c>
      <c r="C75">
        <v>2015</v>
      </c>
      <c r="D75" s="1" t="s">
        <v>42</v>
      </c>
      <c r="E75" s="1" t="s">
        <v>474</v>
      </c>
      <c r="F75" s="1" t="s">
        <v>475</v>
      </c>
      <c r="G75" s="1" t="s">
        <v>476</v>
      </c>
      <c r="H75" s="1" t="s">
        <v>35</v>
      </c>
      <c r="I75" s="1" t="s">
        <v>477</v>
      </c>
      <c r="J75" s="1" t="s">
        <v>19</v>
      </c>
      <c r="K75" s="1" t="s">
        <v>19</v>
      </c>
      <c r="L75">
        <v>69000000</v>
      </c>
      <c r="M75">
        <v>240400000</v>
      </c>
      <c r="N75">
        <v>171400000</v>
      </c>
      <c r="O75">
        <v>248.41</v>
      </c>
      <c r="P75" t="s">
        <v>40</v>
      </c>
    </row>
    <row r="76" spans="1:16" x14ac:dyDescent="0.3">
      <c r="A76" s="1" t="s">
        <v>478</v>
      </c>
      <c r="B76" s="2">
        <v>42083</v>
      </c>
      <c r="C76">
        <v>2015</v>
      </c>
      <c r="D76" s="1" t="s">
        <v>42</v>
      </c>
      <c r="E76" s="1" t="s">
        <v>479</v>
      </c>
      <c r="F76" s="1" t="s">
        <v>19</v>
      </c>
      <c r="G76" s="1" t="s">
        <v>480</v>
      </c>
      <c r="H76" s="1" t="s">
        <v>481</v>
      </c>
      <c r="I76" s="1" t="s">
        <v>482</v>
      </c>
      <c r="J76" s="1" t="s">
        <v>217</v>
      </c>
      <c r="K76" s="1" t="s">
        <v>483</v>
      </c>
      <c r="L76">
        <v>10000000</v>
      </c>
      <c r="M76">
        <v>8200000</v>
      </c>
      <c r="N76">
        <v>-1800000</v>
      </c>
      <c r="O76">
        <v>-18</v>
      </c>
      <c r="P76" t="s">
        <v>72</v>
      </c>
    </row>
    <row r="77" spans="1:16" x14ac:dyDescent="0.3">
      <c r="A77" s="1" t="s">
        <v>484</v>
      </c>
      <c r="B77" s="2">
        <v>41040</v>
      </c>
      <c r="C77">
        <v>2012</v>
      </c>
      <c r="D77" s="1" t="s">
        <v>42</v>
      </c>
      <c r="E77" s="1" t="s">
        <v>304</v>
      </c>
      <c r="F77" s="1" t="s">
        <v>19</v>
      </c>
      <c r="G77" s="1" t="s">
        <v>311</v>
      </c>
      <c r="H77" s="1" t="s">
        <v>485</v>
      </c>
      <c r="I77" s="1" t="s">
        <v>486</v>
      </c>
      <c r="J77" s="1" t="s">
        <v>54</v>
      </c>
      <c r="K77" s="1" t="s">
        <v>487</v>
      </c>
      <c r="L77">
        <v>150000000</v>
      </c>
      <c r="M77">
        <v>245500000</v>
      </c>
      <c r="N77">
        <v>95500000</v>
      </c>
      <c r="O77">
        <v>63.67</v>
      </c>
      <c r="P77" t="s">
        <v>32</v>
      </c>
    </row>
    <row r="78" spans="1:16" x14ac:dyDescent="0.3">
      <c r="A78" s="1" t="s">
        <v>488</v>
      </c>
      <c r="B78" s="2">
        <v>41327</v>
      </c>
      <c r="C78">
        <v>2013</v>
      </c>
      <c r="D78" s="1" t="s">
        <v>138</v>
      </c>
      <c r="E78" s="1" t="s">
        <v>489</v>
      </c>
      <c r="F78" s="1" t="s">
        <v>19</v>
      </c>
      <c r="G78" s="1" t="s">
        <v>490</v>
      </c>
      <c r="H78" s="1" t="s">
        <v>491</v>
      </c>
      <c r="I78" s="1" t="s">
        <v>492</v>
      </c>
      <c r="J78" s="1" t="s">
        <v>19</v>
      </c>
      <c r="K78" s="1" t="s">
        <v>19</v>
      </c>
      <c r="L78">
        <v>3500000</v>
      </c>
      <c r="M78">
        <v>26400000</v>
      </c>
      <c r="N78">
        <v>22900000</v>
      </c>
      <c r="O78">
        <v>654.29</v>
      </c>
      <c r="P78" t="s">
        <v>23</v>
      </c>
    </row>
    <row r="79" spans="1:16" x14ac:dyDescent="0.3">
      <c r="A79" s="1" t="s">
        <v>493</v>
      </c>
      <c r="B79" s="2">
        <v>41816</v>
      </c>
      <c r="C79">
        <v>2014</v>
      </c>
      <c r="D79" s="1" t="s">
        <v>25</v>
      </c>
      <c r="E79" s="1" t="s">
        <v>494</v>
      </c>
      <c r="F79" s="1" t="s">
        <v>19</v>
      </c>
      <c r="G79" s="1" t="s">
        <v>495</v>
      </c>
      <c r="H79" s="1" t="s">
        <v>428</v>
      </c>
      <c r="I79" s="1" t="s">
        <v>431</v>
      </c>
      <c r="J79" s="1" t="s">
        <v>496</v>
      </c>
      <c r="K79" s="1" t="s">
        <v>490</v>
      </c>
      <c r="L79">
        <v>235000000</v>
      </c>
      <c r="M79">
        <v>710600000</v>
      </c>
      <c r="N79">
        <v>475600000</v>
      </c>
      <c r="O79">
        <v>202.38</v>
      </c>
      <c r="P79" t="s">
        <v>40</v>
      </c>
    </row>
    <row r="80" spans="1:16" x14ac:dyDescent="0.3">
      <c r="A80" s="1" t="s">
        <v>497</v>
      </c>
      <c r="B80" s="2">
        <v>41341</v>
      </c>
      <c r="C80">
        <v>2013</v>
      </c>
      <c r="D80" s="1" t="s">
        <v>25</v>
      </c>
      <c r="E80" s="1" t="s">
        <v>498</v>
      </c>
      <c r="F80" s="1" t="s">
        <v>19</v>
      </c>
      <c r="G80" s="1" t="s">
        <v>499</v>
      </c>
      <c r="H80" s="1" t="s">
        <v>430</v>
      </c>
      <c r="I80" s="1" t="s">
        <v>141</v>
      </c>
      <c r="J80" s="1" t="s">
        <v>500</v>
      </c>
      <c r="K80" s="1" t="s">
        <v>501</v>
      </c>
      <c r="L80">
        <v>30000000</v>
      </c>
      <c r="M80">
        <v>18100000</v>
      </c>
      <c r="N80">
        <v>-11900000</v>
      </c>
      <c r="O80">
        <v>-39.67</v>
      </c>
      <c r="P80" t="s">
        <v>72</v>
      </c>
    </row>
    <row r="81" spans="1:16" x14ac:dyDescent="0.3">
      <c r="A81" s="1" t="s">
        <v>502</v>
      </c>
      <c r="B81" s="2">
        <v>42408</v>
      </c>
      <c r="C81">
        <v>2016</v>
      </c>
      <c r="D81" s="1" t="s">
        <v>25</v>
      </c>
      <c r="E81" s="1" t="s">
        <v>503</v>
      </c>
      <c r="F81" s="1" t="s">
        <v>19</v>
      </c>
      <c r="G81" s="1" t="s">
        <v>504</v>
      </c>
      <c r="H81" s="1" t="s">
        <v>505</v>
      </c>
      <c r="I81" s="1" t="s">
        <v>506</v>
      </c>
      <c r="J81" s="1" t="s">
        <v>507</v>
      </c>
      <c r="K81" s="1" t="s">
        <v>508</v>
      </c>
      <c r="L81">
        <v>58000000</v>
      </c>
      <c r="M81">
        <v>782600000</v>
      </c>
      <c r="N81">
        <v>724600000</v>
      </c>
      <c r="O81">
        <v>1249.31</v>
      </c>
      <c r="P81" t="s">
        <v>23</v>
      </c>
    </row>
    <row r="82" spans="1:16" x14ac:dyDescent="0.3">
      <c r="A82" s="1" t="s">
        <v>509</v>
      </c>
      <c r="B82" s="2">
        <v>40935</v>
      </c>
      <c r="C82">
        <v>2012</v>
      </c>
      <c r="D82" s="1" t="s">
        <v>166</v>
      </c>
      <c r="E82" s="1" t="s">
        <v>510</v>
      </c>
      <c r="F82" s="1" t="s">
        <v>19</v>
      </c>
      <c r="G82" s="1" t="s">
        <v>511</v>
      </c>
      <c r="H82" s="1" t="s">
        <v>19</v>
      </c>
      <c r="I82" s="1" t="s">
        <v>19</v>
      </c>
      <c r="J82" s="1" t="s">
        <v>19</v>
      </c>
      <c r="K82" s="1" t="s">
        <v>19</v>
      </c>
      <c r="L82">
        <v>1500000</v>
      </c>
      <c r="M82">
        <v>6500000</v>
      </c>
      <c r="N82">
        <v>5000000</v>
      </c>
      <c r="O82">
        <v>333.33</v>
      </c>
      <c r="P82" t="s">
        <v>23</v>
      </c>
    </row>
    <row r="83" spans="1:16" x14ac:dyDescent="0.3">
      <c r="A83" s="1" t="s">
        <v>512</v>
      </c>
      <c r="B83" s="2">
        <v>41822</v>
      </c>
      <c r="C83">
        <v>2014</v>
      </c>
      <c r="D83" s="1" t="s">
        <v>138</v>
      </c>
      <c r="E83" s="1" t="s">
        <v>513</v>
      </c>
      <c r="F83" s="1" t="s">
        <v>514</v>
      </c>
      <c r="G83" s="1" t="s">
        <v>515</v>
      </c>
      <c r="H83" s="1" t="s">
        <v>516</v>
      </c>
      <c r="I83" s="1" t="s">
        <v>517</v>
      </c>
      <c r="J83" s="1" t="s">
        <v>518</v>
      </c>
      <c r="K83" s="1" t="s">
        <v>19</v>
      </c>
      <c r="L83">
        <v>30000000</v>
      </c>
      <c r="M83">
        <v>87900000</v>
      </c>
      <c r="N83">
        <v>57900000</v>
      </c>
      <c r="O83">
        <v>193</v>
      </c>
      <c r="P83" t="s">
        <v>40</v>
      </c>
    </row>
    <row r="84" spans="1:16" x14ac:dyDescent="0.3">
      <c r="A84" s="1" t="s">
        <v>519</v>
      </c>
      <c r="B84" s="2">
        <v>41445</v>
      </c>
      <c r="C84">
        <v>2013</v>
      </c>
      <c r="D84" s="1" t="s">
        <v>42</v>
      </c>
      <c r="E84" s="1" t="s">
        <v>520</v>
      </c>
      <c r="F84" s="1" t="s">
        <v>521</v>
      </c>
      <c r="G84" s="1" t="s">
        <v>522</v>
      </c>
      <c r="H84" s="1" t="s">
        <v>523</v>
      </c>
      <c r="I84" s="1" t="s">
        <v>524</v>
      </c>
      <c r="J84" s="1" t="s">
        <v>525</v>
      </c>
      <c r="K84" s="1" t="s">
        <v>526</v>
      </c>
      <c r="L84">
        <v>76000000</v>
      </c>
      <c r="M84">
        <v>970800000</v>
      </c>
      <c r="N84">
        <v>894800000</v>
      </c>
      <c r="O84">
        <v>1177.3699999999999</v>
      </c>
      <c r="P84" t="s">
        <v>23</v>
      </c>
    </row>
    <row r="85" spans="1:16" x14ac:dyDescent="0.3">
      <c r="A85" s="1" t="s">
        <v>527</v>
      </c>
      <c r="B85" s="2">
        <v>41656</v>
      </c>
      <c r="C85">
        <v>2014</v>
      </c>
      <c r="D85" s="1" t="s">
        <v>138</v>
      </c>
      <c r="E85" s="1" t="s">
        <v>528</v>
      </c>
      <c r="F85" s="1" t="s">
        <v>529</v>
      </c>
      <c r="G85" s="1" t="s">
        <v>530</v>
      </c>
      <c r="H85" s="1" t="s">
        <v>531</v>
      </c>
      <c r="I85" s="1" t="s">
        <v>532</v>
      </c>
      <c r="J85" s="1" t="s">
        <v>533</v>
      </c>
      <c r="K85" s="1" t="s">
        <v>534</v>
      </c>
      <c r="L85">
        <v>7000000</v>
      </c>
      <c r="M85">
        <v>36900000</v>
      </c>
      <c r="N85">
        <v>29900000</v>
      </c>
      <c r="O85">
        <v>427.14</v>
      </c>
      <c r="P85" t="s">
        <v>23</v>
      </c>
    </row>
    <row r="86" spans="1:16" x14ac:dyDescent="0.3">
      <c r="A86" s="1" t="s">
        <v>535</v>
      </c>
      <c r="B86" s="2">
        <v>41124</v>
      </c>
      <c r="C86">
        <v>2012</v>
      </c>
      <c r="D86" s="1" t="s">
        <v>42</v>
      </c>
      <c r="E86" s="1" t="s">
        <v>536</v>
      </c>
      <c r="F86" s="1" t="s">
        <v>19</v>
      </c>
      <c r="G86" s="1" t="s">
        <v>537</v>
      </c>
      <c r="H86" s="1" t="s">
        <v>538</v>
      </c>
      <c r="I86" s="1" t="s">
        <v>539</v>
      </c>
      <c r="J86" s="1" t="s">
        <v>540</v>
      </c>
      <c r="K86" s="1" t="s">
        <v>541</v>
      </c>
      <c r="L86">
        <v>22000000</v>
      </c>
      <c r="M86">
        <v>77100000</v>
      </c>
      <c r="N86">
        <v>55100000</v>
      </c>
      <c r="O86">
        <v>250.45</v>
      </c>
      <c r="P86" t="s">
        <v>40</v>
      </c>
    </row>
    <row r="87" spans="1:16" x14ac:dyDescent="0.3">
      <c r="A87" s="1" t="s">
        <v>542</v>
      </c>
      <c r="B87" s="2">
        <v>41716</v>
      </c>
      <c r="C87">
        <v>2014</v>
      </c>
      <c r="D87" s="1" t="s">
        <v>145</v>
      </c>
      <c r="E87" s="1" t="s">
        <v>543</v>
      </c>
      <c r="F87" s="1" t="s">
        <v>19</v>
      </c>
      <c r="G87" s="1" t="s">
        <v>544</v>
      </c>
      <c r="H87" s="1" t="s">
        <v>545</v>
      </c>
      <c r="I87" s="1" t="s">
        <v>546</v>
      </c>
      <c r="J87" s="1" t="s">
        <v>547</v>
      </c>
      <c r="K87" s="1" t="s">
        <v>548</v>
      </c>
      <c r="L87">
        <v>85000000</v>
      </c>
      <c r="M87">
        <v>288900000</v>
      </c>
      <c r="N87">
        <v>203900000</v>
      </c>
      <c r="O87">
        <v>239.88</v>
      </c>
      <c r="P87" t="s">
        <v>40</v>
      </c>
    </row>
    <row r="88" spans="1:16" x14ac:dyDescent="0.3">
      <c r="A88" s="1" t="s">
        <v>549</v>
      </c>
      <c r="B88" s="2">
        <v>41268</v>
      </c>
      <c r="C88">
        <v>2012</v>
      </c>
      <c r="D88" s="1" t="s">
        <v>25</v>
      </c>
      <c r="E88" s="1" t="s">
        <v>550</v>
      </c>
      <c r="F88" s="1" t="s">
        <v>19</v>
      </c>
      <c r="G88" s="1" t="s">
        <v>305</v>
      </c>
      <c r="H88" s="1" t="s">
        <v>214</v>
      </c>
      <c r="I88" s="1" t="s">
        <v>551</v>
      </c>
      <c r="J88" s="1" t="s">
        <v>552</v>
      </c>
      <c r="K88" s="1" t="s">
        <v>553</v>
      </c>
      <c r="L88">
        <v>100000000</v>
      </c>
      <c r="M88">
        <v>425400000</v>
      </c>
      <c r="N88">
        <v>325400000</v>
      </c>
      <c r="O88">
        <v>325.39999999999998</v>
      </c>
      <c r="P88" t="s">
        <v>23</v>
      </c>
    </row>
    <row r="89" spans="1:16" x14ac:dyDescent="0.3">
      <c r="A89" s="1" t="s">
        <v>554</v>
      </c>
      <c r="B89" s="2">
        <v>41894</v>
      </c>
      <c r="C89">
        <v>2014</v>
      </c>
      <c r="D89" s="1" t="s">
        <v>445</v>
      </c>
      <c r="E89" s="1" t="s">
        <v>555</v>
      </c>
      <c r="F89" s="1" t="s">
        <v>19</v>
      </c>
      <c r="G89" s="1" t="s">
        <v>556</v>
      </c>
      <c r="H89" s="1" t="s">
        <v>557</v>
      </c>
      <c r="I89" s="1" t="s">
        <v>558</v>
      </c>
      <c r="J89" s="1" t="s">
        <v>559</v>
      </c>
      <c r="K89" s="1" t="s">
        <v>560</v>
      </c>
      <c r="L89">
        <v>36000000</v>
      </c>
      <c r="M89">
        <v>57800000</v>
      </c>
      <c r="N89">
        <v>21800000</v>
      </c>
      <c r="O89">
        <v>60.56</v>
      </c>
      <c r="P89" t="s">
        <v>32</v>
      </c>
    </row>
    <row r="90" spans="1:16" x14ac:dyDescent="0.3">
      <c r="A90" s="1" t="s">
        <v>561</v>
      </c>
      <c r="B90" s="2">
        <v>42608</v>
      </c>
      <c r="C90">
        <v>2016</v>
      </c>
      <c r="D90" s="1" t="s">
        <v>17</v>
      </c>
      <c r="E90" s="1" t="s">
        <v>562</v>
      </c>
      <c r="F90" s="1" t="s">
        <v>19</v>
      </c>
      <c r="G90" s="1" t="s">
        <v>563</v>
      </c>
      <c r="H90" s="1" t="s">
        <v>564</v>
      </c>
      <c r="I90" s="1" t="s">
        <v>565</v>
      </c>
      <c r="J90" s="1" t="s">
        <v>19</v>
      </c>
      <c r="K90" s="1" t="s">
        <v>19</v>
      </c>
      <c r="L90">
        <v>9900000</v>
      </c>
      <c r="M90">
        <v>28300000</v>
      </c>
      <c r="N90">
        <v>18400000</v>
      </c>
      <c r="O90">
        <v>185.86</v>
      </c>
      <c r="P90" t="s">
        <v>40</v>
      </c>
    </row>
    <row r="91" spans="1:16" x14ac:dyDescent="0.3">
      <c r="A91" s="1" t="s">
        <v>566</v>
      </c>
      <c r="B91" s="2">
        <v>40970</v>
      </c>
      <c r="C91">
        <v>2012</v>
      </c>
      <c r="D91" s="1" t="s">
        <v>445</v>
      </c>
      <c r="E91" s="1" t="s">
        <v>520</v>
      </c>
      <c r="F91" s="1" t="s">
        <v>19</v>
      </c>
      <c r="G91" s="1" t="s">
        <v>567</v>
      </c>
      <c r="H91" s="1" t="s">
        <v>568</v>
      </c>
      <c r="I91" s="1" t="s">
        <v>569</v>
      </c>
      <c r="J91" s="1" t="s">
        <v>570</v>
      </c>
      <c r="K91" s="1" t="s">
        <v>49</v>
      </c>
      <c r="L91">
        <v>70000000</v>
      </c>
      <c r="M91">
        <v>348800000</v>
      </c>
      <c r="N91">
        <v>278800000</v>
      </c>
      <c r="O91">
        <v>398.29</v>
      </c>
      <c r="P91" t="s">
        <v>23</v>
      </c>
    </row>
    <row r="92" spans="1:16" x14ac:dyDescent="0.3">
      <c r="A92" s="1" t="s">
        <v>571</v>
      </c>
      <c r="B92" s="2">
        <v>41922</v>
      </c>
      <c r="C92">
        <v>2014</v>
      </c>
      <c r="D92" s="1" t="s">
        <v>74</v>
      </c>
      <c r="E92" s="1" t="s">
        <v>572</v>
      </c>
      <c r="F92" s="1" t="s">
        <v>19</v>
      </c>
      <c r="G92" s="1" t="s">
        <v>573</v>
      </c>
      <c r="H92" s="1" t="s">
        <v>574</v>
      </c>
      <c r="I92" s="1" t="s">
        <v>575</v>
      </c>
      <c r="J92" s="1" t="s">
        <v>141</v>
      </c>
      <c r="K92" s="1" t="s">
        <v>576</v>
      </c>
      <c r="L92">
        <v>70000000</v>
      </c>
      <c r="M92">
        <v>217100000</v>
      </c>
      <c r="N92">
        <v>147100000</v>
      </c>
      <c r="O92">
        <v>210.14</v>
      </c>
      <c r="P92" t="s">
        <v>40</v>
      </c>
    </row>
    <row r="93" spans="1:16" x14ac:dyDescent="0.3">
      <c r="A93" s="1" t="s">
        <v>577</v>
      </c>
      <c r="B93" s="2">
        <v>41736</v>
      </c>
      <c r="C93">
        <v>2014</v>
      </c>
      <c r="D93" s="1" t="s">
        <v>74</v>
      </c>
      <c r="E93" s="1" t="s">
        <v>578</v>
      </c>
      <c r="F93" s="1" t="s">
        <v>19</v>
      </c>
      <c r="G93" s="1" t="s">
        <v>463</v>
      </c>
      <c r="H93" s="1" t="s">
        <v>482</v>
      </c>
      <c r="I93" s="1" t="s">
        <v>579</v>
      </c>
      <c r="J93" s="1" t="s">
        <v>580</v>
      </c>
      <c r="K93" s="1" t="s">
        <v>581</v>
      </c>
      <c r="L93">
        <v>25000000</v>
      </c>
      <c r="M93">
        <v>29500000</v>
      </c>
      <c r="N93">
        <v>4500000</v>
      </c>
      <c r="O93">
        <v>18</v>
      </c>
      <c r="P93" t="s">
        <v>32</v>
      </c>
    </row>
    <row r="94" spans="1:16" x14ac:dyDescent="0.3">
      <c r="A94" s="1" t="s">
        <v>582</v>
      </c>
      <c r="B94" s="2">
        <v>42053</v>
      </c>
      <c r="C94">
        <v>2015</v>
      </c>
      <c r="D94" s="1" t="s">
        <v>25</v>
      </c>
      <c r="E94" s="1" t="s">
        <v>583</v>
      </c>
      <c r="F94" s="1" t="s">
        <v>19</v>
      </c>
      <c r="G94" s="1" t="s">
        <v>584</v>
      </c>
      <c r="H94" s="1" t="s">
        <v>585</v>
      </c>
      <c r="I94" s="1" t="s">
        <v>586</v>
      </c>
      <c r="J94" s="1" t="s">
        <v>587</v>
      </c>
      <c r="K94" s="1" t="s">
        <v>588</v>
      </c>
      <c r="L94">
        <v>65000000</v>
      </c>
      <c r="M94">
        <v>120000000</v>
      </c>
      <c r="N94">
        <v>55000000</v>
      </c>
      <c r="O94">
        <v>84.62</v>
      </c>
      <c r="P94" t="s">
        <v>32</v>
      </c>
    </row>
    <row r="95" spans="1:16" x14ac:dyDescent="0.3">
      <c r="A95" s="1" t="s">
        <v>589</v>
      </c>
      <c r="B95" s="2">
        <v>41957</v>
      </c>
      <c r="C95">
        <v>2014</v>
      </c>
      <c r="D95" s="1" t="s">
        <v>42</v>
      </c>
      <c r="E95" s="1" t="s">
        <v>590</v>
      </c>
      <c r="F95" s="1" t="s">
        <v>591</v>
      </c>
      <c r="G95" s="1" t="s">
        <v>592</v>
      </c>
      <c r="H95" s="1" t="s">
        <v>593</v>
      </c>
      <c r="I95" s="1" t="s">
        <v>594</v>
      </c>
      <c r="J95" s="1" t="s">
        <v>595</v>
      </c>
      <c r="K95" s="1" t="s">
        <v>19</v>
      </c>
      <c r="L95">
        <v>50000000</v>
      </c>
      <c r="M95">
        <v>169800000</v>
      </c>
      <c r="N95">
        <v>119800000</v>
      </c>
      <c r="O95">
        <v>239.6</v>
      </c>
      <c r="P95" t="s">
        <v>40</v>
      </c>
    </row>
    <row r="96" spans="1:16" x14ac:dyDescent="0.3">
      <c r="A96" s="1" t="s">
        <v>596</v>
      </c>
      <c r="B96" s="2">
        <v>41804</v>
      </c>
      <c r="C96">
        <v>2014</v>
      </c>
      <c r="D96" s="1" t="s">
        <v>145</v>
      </c>
      <c r="E96" s="1" t="s">
        <v>597</v>
      </c>
      <c r="F96" s="1" t="s">
        <v>19</v>
      </c>
      <c r="G96" s="1" t="s">
        <v>598</v>
      </c>
      <c r="H96" s="1" t="s">
        <v>599</v>
      </c>
      <c r="I96" s="1" t="s">
        <v>600</v>
      </c>
      <c r="J96" s="1" t="s">
        <v>601</v>
      </c>
      <c r="K96" s="1" t="s">
        <v>19</v>
      </c>
      <c r="L96">
        <v>13000000</v>
      </c>
      <c r="M96">
        <v>45300000</v>
      </c>
      <c r="N96">
        <v>32300000</v>
      </c>
      <c r="O96">
        <v>248.46</v>
      </c>
      <c r="P96" t="s">
        <v>40</v>
      </c>
    </row>
    <row r="97" spans="1:16" x14ac:dyDescent="0.3">
      <c r="A97" s="1" t="s">
        <v>602</v>
      </c>
      <c r="B97" s="2">
        <v>42426</v>
      </c>
      <c r="C97">
        <v>2016</v>
      </c>
      <c r="D97" s="1" t="s">
        <v>74</v>
      </c>
      <c r="E97" s="1" t="s">
        <v>603</v>
      </c>
      <c r="F97" s="1" t="s">
        <v>19</v>
      </c>
      <c r="G97" s="1" t="s">
        <v>604</v>
      </c>
      <c r="H97" s="1" t="s">
        <v>605</v>
      </c>
      <c r="I97" s="1" t="s">
        <v>406</v>
      </c>
      <c r="J97" s="1" t="s">
        <v>19</v>
      </c>
      <c r="K97" s="1" t="s">
        <v>19</v>
      </c>
      <c r="L97">
        <v>23000000</v>
      </c>
      <c r="M97">
        <v>46200000</v>
      </c>
      <c r="N97">
        <v>23200000</v>
      </c>
      <c r="O97">
        <v>100.87</v>
      </c>
      <c r="P97" t="s">
        <v>40</v>
      </c>
    </row>
    <row r="98" spans="1:16" x14ac:dyDescent="0.3">
      <c r="A98" s="1" t="s">
        <v>606</v>
      </c>
      <c r="B98" s="2">
        <v>41787</v>
      </c>
      <c r="C98">
        <v>2014</v>
      </c>
      <c r="D98" s="1" t="s">
        <v>25</v>
      </c>
      <c r="E98" s="1" t="s">
        <v>607</v>
      </c>
      <c r="F98" s="1" t="s">
        <v>19</v>
      </c>
      <c r="G98" s="1" t="s">
        <v>608</v>
      </c>
      <c r="H98" s="1" t="s">
        <v>609</v>
      </c>
      <c r="I98" s="1" t="s">
        <v>19</v>
      </c>
      <c r="J98" s="1" t="s">
        <v>19</v>
      </c>
      <c r="K98" s="1" t="s">
        <v>19</v>
      </c>
      <c r="L98">
        <v>178000000</v>
      </c>
      <c r="M98">
        <v>370500000</v>
      </c>
      <c r="N98">
        <v>192500000</v>
      </c>
      <c r="O98">
        <v>108.15</v>
      </c>
      <c r="P98" t="s">
        <v>40</v>
      </c>
    </row>
    <row r="99" spans="1:16" x14ac:dyDescent="0.3">
      <c r="A99" s="1" t="s">
        <v>610</v>
      </c>
      <c r="B99" s="2">
        <v>41495</v>
      </c>
      <c r="C99">
        <v>2013</v>
      </c>
      <c r="D99" s="1" t="s">
        <v>145</v>
      </c>
      <c r="E99" s="1" t="s">
        <v>401</v>
      </c>
      <c r="F99" s="1" t="s">
        <v>19</v>
      </c>
      <c r="G99" s="1" t="s">
        <v>611</v>
      </c>
      <c r="H99" s="1" t="s">
        <v>612</v>
      </c>
      <c r="I99" s="1" t="s">
        <v>402</v>
      </c>
      <c r="J99" s="1" t="s">
        <v>613</v>
      </c>
      <c r="K99" s="1" t="s">
        <v>614</v>
      </c>
      <c r="L99">
        <v>115000000</v>
      </c>
      <c r="M99">
        <v>286100000</v>
      </c>
      <c r="N99">
        <v>171100000</v>
      </c>
      <c r="O99">
        <v>148.78</v>
      </c>
      <c r="P99" t="s">
        <v>40</v>
      </c>
    </row>
    <row r="100" spans="1:16" x14ac:dyDescent="0.3">
      <c r="A100" s="1" t="s">
        <v>615</v>
      </c>
      <c r="B100" s="2">
        <v>42139</v>
      </c>
      <c r="C100">
        <v>2015</v>
      </c>
      <c r="D100" s="1" t="s">
        <v>132</v>
      </c>
      <c r="E100" s="1" t="s">
        <v>616</v>
      </c>
      <c r="F100" s="1" t="s">
        <v>19</v>
      </c>
      <c r="G100" s="1" t="s">
        <v>617</v>
      </c>
      <c r="H100" s="1" t="s">
        <v>618</v>
      </c>
      <c r="I100" s="1" t="s">
        <v>619</v>
      </c>
      <c r="J100" s="1" t="s">
        <v>19</v>
      </c>
      <c r="K100" s="1" t="s">
        <v>19</v>
      </c>
      <c r="L100">
        <v>1400000</v>
      </c>
      <c r="M100">
        <v>2800000</v>
      </c>
      <c r="N100">
        <v>1400000</v>
      </c>
      <c r="O100">
        <v>100</v>
      </c>
      <c r="P100" t="s">
        <v>40</v>
      </c>
    </row>
    <row r="101" spans="1:16" x14ac:dyDescent="0.3">
      <c r="A101" s="1" t="s">
        <v>620</v>
      </c>
      <c r="B101" s="2">
        <v>41173</v>
      </c>
      <c r="C101">
        <v>2012</v>
      </c>
      <c r="D101" s="1" t="s">
        <v>25</v>
      </c>
      <c r="E101" s="1" t="s">
        <v>621</v>
      </c>
      <c r="F101" s="1" t="s">
        <v>19</v>
      </c>
      <c r="G101" s="1" t="s">
        <v>622</v>
      </c>
      <c r="H101" s="1" t="s">
        <v>223</v>
      </c>
      <c r="I101" s="1" t="s">
        <v>623</v>
      </c>
      <c r="J101" s="1" t="s">
        <v>624</v>
      </c>
      <c r="K101" s="1" t="s">
        <v>397</v>
      </c>
      <c r="L101">
        <v>7000000</v>
      </c>
      <c r="M101">
        <v>48100000</v>
      </c>
      <c r="N101">
        <v>41100000</v>
      </c>
      <c r="O101">
        <v>587.14</v>
      </c>
      <c r="P101" t="s">
        <v>23</v>
      </c>
    </row>
    <row r="102" spans="1:16" x14ac:dyDescent="0.3">
      <c r="A102" s="1" t="s">
        <v>625</v>
      </c>
      <c r="B102" s="2">
        <v>41537</v>
      </c>
      <c r="C102">
        <v>2013</v>
      </c>
      <c r="D102" s="1" t="s">
        <v>42</v>
      </c>
      <c r="E102" s="1" t="s">
        <v>626</v>
      </c>
      <c r="F102" s="1" t="s">
        <v>19</v>
      </c>
      <c r="G102" s="1" t="s">
        <v>627</v>
      </c>
      <c r="H102" s="1" t="s">
        <v>628</v>
      </c>
      <c r="I102" s="1" t="s">
        <v>99</v>
      </c>
      <c r="J102" s="1" t="s">
        <v>629</v>
      </c>
      <c r="K102" s="1" t="s">
        <v>630</v>
      </c>
      <c r="L102">
        <v>8000000</v>
      </c>
      <c r="M102">
        <v>25300000</v>
      </c>
      <c r="N102">
        <v>17300000</v>
      </c>
      <c r="O102">
        <v>216.25</v>
      </c>
      <c r="P102" t="s">
        <v>40</v>
      </c>
    </row>
    <row r="103" spans="1:16" x14ac:dyDescent="0.3">
      <c r="A103" s="1" t="s">
        <v>631</v>
      </c>
      <c r="B103" s="2">
        <v>42151</v>
      </c>
      <c r="C103">
        <v>2015</v>
      </c>
      <c r="D103" s="1" t="s">
        <v>42</v>
      </c>
      <c r="E103" s="1" t="s">
        <v>632</v>
      </c>
      <c r="F103" s="1" t="s">
        <v>19</v>
      </c>
      <c r="G103" s="1" t="s">
        <v>633</v>
      </c>
      <c r="H103" s="1" t="s">
        <v>634</v>
      </c>
      <c r="I103" s="1" t="s">
        <v>635</v>
      </c>
      <c r="J103" s="1" t="s">
        <v>636</v>
      </c>
      <c r="K103" s="1" t="s">
        <v>637</v>
      </c>
      <c r="L103">
        <v>39000000</v>
      </c>
      <c r="M103">
        <v>49300000</v>
      </c>
      <c r="N103">
        <v>10300000</v>
      </c>
      <c r="O103">
        <v>26.41</v>
      </c>
      <c r="P103" t="s">
        <v>32</v>
      </c>
    </row>
    <row r="104" spans="1:16" x14ac:dyDescent="0.3">
      <c r="A104" s="1" t="s">
        <v>638</v>
      </c>
      <c r="B104" s="2">
        <v>41418</v>
      </c>
      <c r="C104">
        <v>2013</v>
      </c>
      <c r="D104" s="1" t="s">
        <v>132</v>
      </c>
      <c r="E104" s="1" t="s">
        <v>639</v>
      </c>
      <c r="F104" s="1" t="s">
        <v>19</v>
      </c>
      <c r="G104" s="1" t="s">
        <v>499</v>
      </c>
      <c r="H104" s="1" t="s">
        <v>640</v>
      </c>
      <c r="I104" s="1" t="s">
        <v>641</v>
      </c>
      <c r="J104" s="1" t="s">
        <v>642</v>
      </c>
      <c r="K104" s="1" t="s">
        <v>305</v>
      </c>
      <c r="L104">
        <v>93000000</v>
      </c>
      <c r="M104">
        <v>268400000</v>
      </c>
      <c r="N104">
        <v>175400000</v>
      </c>
      <c r="O104">
        <v>188.6</v>
      </c>
      <c r="P104" t="s">
        <v>40</v>
      </c>
    </row>
    <row r="105" spans="1:16" x14ac:dyDescent="0.3">
      <c r="A105" s="1" t="s">
        <v>643</v>
      </c>
      <c r="B105" s="2">
        <v>41320</v>
      </c>
      <c r="C105">
        <v>2013</v>
      </c>
      <c r="D105" s="1" t="s">
        <v>42</v>
      </c>
      <c r="E105" s="1" t="s">
        <v>644</v>
      </c>
      <c r="F105" s="1" t="s">
        <v>19</v>
      </c>
      <c r="G105" s="1" t="s">
        <v>645</v>
      </c>
      <c r="H105" s="1" t="s">
        <v>646</v>
      </c>
      <c r="I105" s="1" t="s">
        <v>647</v>
      </c>
      <c r="J105" s="1" t="s">
        <v>648</v>
      </c>
      <c r="K105" s="1" t="s">
        <v>649</v>
      </c>
      <c r="L105">
        <v>40000000</v>
      </c>
      <c r="M105">
        <v>74600000</v>
      </c>
      <c r="N105">
        <v>34600000</v>
      </c>
      <c r="O105">
        <v>86.5</v>
      </c>
      <c r="P105" t="s">
        <v>32</v>
      </c>
    </row>
    <row r="106" spans="1:16" x14ac:dyDescent="0.3">
      <c r="A106" s="1" t="s">
        <v>650</v>
      </c>
      <c r="B106" s="2">
        <v>41369</v>
      </c>
      <c r="C106">
        <v>2013</v>
      </c>
      <c r="D106" s="1" t="s">
        <v>138</v>
      </c>
      <c r="E106" s="1" t="s">
        <v>562</v>
      </c>
      <c r="F106" s="1" t="s">
        <v>19</v>
      </c>
      <c r="G106" s="1" t="s">
        <v>651</v>
      </c>
      <c r="H106" s="1" t="s">
        <v>652</v>
      </c>
      <c r="I106" s="1" t="s">
        <v>653</v>
      </c>
      <c r="J106" s="1" t="s">
        <v>654</v>
      </c>
      <c r="K106" s="1" t="s">
        <v>655</v>
      </c>
      <c r="L106">
        <v>17000000</v>
      </c>
      <c r="M106">
        <v>97500000</v>
      </c>
      <c r="N106">
        <v>80500000</v>
      </c>
      <c r="O106">
        <v>473.53</v>
      </c>
      <c r="P106" t="s">
        <v>23</v>
      </c>
    </row>
    <row r="107" spans="1:16" x14ac:dyDescent="0.3">
      <c r="A107" s="1" t="s">
        <v>656</v>
      </c>
      <c r="B107" s="2">
        <v>42025</v>
      </c>
      <c r="C107">
        <v>2015</v>
      </c>
      <c r="D107" s="1" t="s">
        <v>145</v>
      </c>
      <c r="E107" s="1" t="s">
        <v>657</v>
      </c>
      <c r="F107" s="1" t="s">
        <v>19</v>
      </c>
      <c r="G107" s="1" t="s">
        <v>353</v>
      </c>
      <c r="H107" s="1" t="s">
        <v>105</v>
      </c>
      <c r="I107" s="1" t="s">
        <v>658</v>
      </c>
      <c r="J107" s="1" t="s">
        <v>19</v>
      </c>
      <c r="K107" s="1" t="s">
        <v>19</v>
      </c>
      <c r="L107">
        <v>15000000</v>
      </c>
      <c r="M107">
        <v>36900000</v>
      </c>
      <c r="N107">
        <v>21900000</v>
      </c>
      <c r="O107">
        <v>146</v>
      </c>
      <c r="P107" t="s">
        <v>40</v>
      </c>
    </row>
    <row r="108" spans="1:16" x14ac:dyDescent="0.3">
      <c r="A108" s="1" t="s">
        <v>659</v>
      </c>
      <c r="B108" s="2">
        <v>42258</v>
      </c>
      <c r="C108">
        <v>2015</v>
      </c>
      <c r="D108" s="1" t="s">
        <v>17</v>
      </c>
      <c r="E108" s="1" t="s">
        <v>660</v>
      </c>
      <c r="F108" s="1" t="s">
        <v>19</v>
      </c>
      <c r="G108" s="1" t="s">
        <v>661</v>
      </c>
      <c r="H108" s="1" t="s">
        <v>101</v>
      </c>
      <c r="I108" s="1" t="s">
        <v>662</v>
      </c>
      <c r="J108" s="1" t="s">
        <v>663</v>
      </c>
      <c r="K108" s="1" t="s">
        <v>19</v>
      </c>
      <c r="L108">
        <v>13000000</v>
      </c>
      <c r="M108">
        <v>32800000</v>
      </c>
      <c r="N108">
        <v>19800000</v>
      </c>
      <c r="O108">
        <v>152.31</v>
      </c>
      <c r="P108" t="s">
        <v>40</v>
      </c>
    </row>
    <row r="109" spans="1:16" x14ac:dyDescent="0.3">
      <c r="A109" s="1" t="s">
        <v>664</v>
      </c>
      <c r="B109" s="2">
        <v>42220</v>
      </c>
      <c r="C109">
        <v>2015</v>
      </c>
      <c r="D109" s="1" t="s">
        <v>25</v>
      </c>
      <c r="E109" s="1" t="s">
        <v>433</v>
      </c>
      <c r="F109" s="1" t="s">
        <v>19</v>
      </c>
      <c r="G109" s="1" t="s">
        <v>665</v>
      </c>
      <c r="H109" s="1" t="s">
        <v>435</v>
      </c>
      <c r="I109" s="1" t="s">
        <v>382</v>
      </c>
      <c r="J109" s="1" t="s">
        <v>666</v>
      </c>
      <c r="K109" s="1" t="s">
        <v>295</v>
      </c>
      <c r="L109">
        <v>120000000</v>
      </c>
      <c r="M109">
        <v>168000000</v>
      </c>
      <c r="N109">
        <v>48000000</v>
      </c>
      <c r="O109">
        <v>40</v>
      </c>
      <c r="P109" t="s">
        <v>32</v>
      </c>
    </row>
    <row r="110" spans="1:16" x14ac:dyDescent="0.3">
      <c r="A110" s="1" t="s">
        <v>667</v>
      </c>
      <c r="B110" s="2">
        <v>41411</v>
      </c>
      <c r="C110">
        <v>2013</v>
      </c>
      <c r="D110" s="1" t="s">
        <v>25</v>
      </c>
      <c r="E110" s="1" t="s">
        <v>668</v>
      </c>
      <c r="F110" s="1" t="s">
        <v>19</v>
      </c>
      <c r="G110" s="1" t="s">
        <v>669</v>
      </c>
      <c r="H110" s="1" t="s">
        <v>393</v>
      </c>
      <c r="I110" s="1" t="s">
        <v>339</v>
      </c>
      <c r="J110" s="1" t="s">
        <v>670</v>
      </c>
      <c r="K110" s="1" t="s">
        <v>671</v>
      </c>
      <c r="L110">
        <v>160000000</v>
      </c>
      <c r="M110">
        <v>788700000</v>
      </c>
      <c r="N110">
        <v>628700000</v>
      </c>
      <c r="O110">
        <v>392.94</v>
      </c>
      <c r="P110" t="s">
        <v>23</v>
      </c>
    </row>
    <row r="111" spans="1:16" x14ac:dyDescent="0.3">
      <c r="A111" s="1" t="s">
        <v>672</v>
      </c>
      <c r="B111" s="2">
        <v>41215</v>
      </c>
      <c r="C111">
        <v>2012</v>
      </c>
      <c r="D111" s="1" t="s">
        <v>74</v>
      </c>
      <c r="E111" s="1" t="s">
        <v>673</v>
      </c>
      <c r="F111" s="1" t="s">
        <v>19</v>
      </c>
      <c r="G111" s="1" t="s">
        <v>36</v>
      </c>
      <c r="H111" s="1" t="s">
        <v>674</v>
      </c>
      <c r="I111" s="1" t="s">
        <v>675</v>
      </c>
      <c r="J111" s="1" t="s">
        <v>676</v>
      </c>
      <c r="K111" s="1" t="s">
        <v>21</v>
      </c>
      <c r="L111">
        <v>31000000</v>
      </c>
      <c r="M111">
        <v>161800000</v>
      </c>
      <c r="N111">
        <v>130800000</v>
      </c>
      <c r="O111">
        <v>421.94</v>
      </c>
      <c r="P111" t="s">
        <v>23</v>
      </c>
    </row>
    <row r="112" spans="1:16" x14ac:dyDescent="0.3">
      <c r="A112" s="1" t="s">
        <v>677</v>
      </c>
      <c r="B112" s="2">
        <v>42487</v>
      </c>
      <c r="C112">
        <v>2016</v>
      </c>
      <c r="D112" s="1" t="s">
        <v>59</v>
      </c>
      <c r="E112" s="1" t="s">
        <v>678</v>
      </c>
      <c r="F112" s="1" t="s">
        <v>19</v>
      </c>
      <c r="G112" s="1" t="s">
        <v>679</v>
      </c>
      <c r="H112" s="1" t="s">
        <v>680</v>
      </c>
      <c r="I112" s="1" t="s">
        <v>681</v>
      </c>
      <c r="J112" s="1" t="s">
        <v>682</v>
      </c>
      <c r="K112" s="1" t="s">
        <v>683</v>
      </c>
      <c r="L112">
        <v>19000000</v>
      </c>
      <c r="M112">
        <v>31700000</v>
      </c>
      <c r="N112">
        <v>12700000</v>
      </c>
      <c r="O112">
        <v>66.84</v>
      </c>
      <c r="P112" t="s">
        <v>32</v>
      </c>
    </row>
    <row r="113" spans="1:16" x14ac:dyDescent="0.3">
      <c r="A113" s="1" t="s">
        <v>684</v>
      </c>
      <c r="B113" s="2">
        <v>41411</v>
      </c>
      <c r="C113">
        <v>2013</v>
      </c>
      <c r="D113" s="1" t="s">
        <v>74</v>
      </c>
      <c r="E113" s="1" t="s">
        <v>685</v>
      </c>
      <c r="F113" s="1" t="s">
        <v>19</v>
      </c>
      <c r="G113" s="1" t="s">
        <v>686</v>
      </c>
      <c r="H113" s="1" t="s">
        <v>687</v>
      </c>
      <c r="I113" s="1" t="s">
        <v>688</v>
      </c>
      <c r="J113" s="1" t="s">
        <v>689</v>
      </c>
      <c r="K113" s="1" t="s">
        <v>690</v>
      </c>
      <c r="L113">
        <v>3000000</v>
      </c>
      <c r="M113">
        <v>11300000</v>
      </c>
      <c r="N113">
        <v>8300000</v>
      </c>
      <c r="O113">
        <v>276.67</v>
      </c>
      <c r="P113" t="s">
        <v>40</v>
      </c>
    </row>
    <row r="114" spans="1:16" x14ac:dyDescent="0.3">
      <c r="A114" s="1" t="s">
        <v>691</v>
      </c>
      <c r="B114" s="2">
        <v>42537</v>
      </c>
      <c r="C114">
        <v>2016</v>
      </c>
      <c r="D114" s="1" t="s">
        <v>74</v>
      </c>
      <c r="E114" s="1" t="s">
        <v>692</v>
      </c>
      <c r="F114" s="1" t="s">
        <v>19</v>
      </c>
      <c r="G114" s="1" t="s">
        <v>693</v>
      </c>
      <c r="H114" s="1" t="s">
        <v>299</v>
      </c>
      <c r="I114" s="1" t="s">
        <v>490</v>
      </c>
      <c r="J114" s="1" t="s">
        <v>694</v>
      </c>
      <c r="K114" s="1" t="s">
        <v>19</v>
      </c>
      <c r="L114">
        <v>50000000</v>
      </c>
      <c r="M114">
        <v>21200000</v>
      </c>
      <c r="N114">
        <v>-28800000</v>
      </c>
      <c r="O114">
        <v>-57.6</v>
      </c>
      <c r="P114" t="s">
        <v>72</v>
      </c>
    </row>
    <row r="115" spans="1:16" x14ac:dyDescent="0.3">
      <c r="A115" s="1" t="s">
        <v>695</v>
      </c>
      <c r="B115" s="2">
        <v>40977</v>
      </c>
      <c r="C115">
        <v>2012</v>
      </c>
      <c r="D115" s="1" t="s">
        <v>42</v>
      </c>
      <c r="E115" s="1" t="s">
        <v>696</v>
      </c>
      <c r="F115" s="1" t="s">
        <v>19</v>
      </c>
      <c r="G115" s="1" t="s">
        <v>697</v>
      </c>
      <c r="H115" s="1" t="s">
        <v>696</v>
      </c>
      <c r="I115" s="1" t="s">
        <v>698</v>
      </c>
      <c r="J115" s="1" t="s">
        <v>523</v>
      </c>
      <c r="K115" s="1" t="s">
        <v>699</v>
      </c>
      <c r="L115">
        <v>10000000</v>
      </c>
      <c r="M115">
        <v>12200000</v>
      </c>
      <c r="N115">
        <v>2200000</v>
      </c>
      <c r="O115">
        <v>22</v>
      </c>
      <c r="P115" t="s">
        <v>32</v>
      </c>
    </row>
    <row r="116" spans="1:16" x14ac:dyDescent="0.3">
      <c r="A116" s="1" t="s">
        <v>700</v>
      </c>
      <c r="B116" s="2">
        <v>41208</v>
      </c>
      <c r="C116">
        <v>2012</v>
      </c>
      <c r="D116" s="1" t="s">
        <v>42</v>
      </c>
      <c r="E116" s="1" t="s">
        <v>701</v>
      </c>
      <c r="F116" s="1" t="s">
        <v>19</v>
      </c>
      <c r="G116" s="1" t="s">
        <v>702</v>
      </c>
      <c r="H116" s="1" t="s">
        <v>651</v>
      </c>
      <c r="I116" s="1" t="s">
        <v>703</v>
      </c>
      <c r="J116" s="1" t="s">
        <v>704</v>
      </c>
      <c r="K116" s="1" t="s">
        <v>705</v>
      </c>
      <c r="L116">
        <v>14000000</v>
      </c>
      <c r="M116">
        <v>11400000</v>
      </c>
      <c r="N116">
        <v>-2600000</v>
      </c>
      <c r="O116">
        <v>-18.57</v>
      </c>
      <c r="P116" t="s">
        <v>72</v>
      </c>
    </row>
    <row r="117" spans="1:16" x14ac:dyDescent="0.3">
      <c r="A117" s="1" t="s">
        <v>706</v>
      </c>
      <c r="B117" s="2">
        <v>41927</v>
      </c>
      <c r="C117">
        <v>2014</v>
      </c>
      <c r="D117" s="1" t="s">
        <v>25</v>
      </c>
      <c r="E117" s="1" t="s">
        <v>621</v>
      </c>
      <c r="F117" s="1" t="s">
        <v>19</v>
      </c>
      <c r="G117" s="1" t="s">
        <v>369</v>
      </c>
      <c r="H117" s="1" t="s">
        <v>707</v>
      </c>
      <c r="I117" s="1" t="s">
        <v>708</v>
      </c>
      <c r="J117" s="1" t="s">
        <v>223</v>
      </c>
      <c r="K117" s="1" t="s">
        <v>709</v>
      </c>
      <c r="L117">
        <v>68000000</v>
      </c>
      <c r="M117">
        <v>211800000</v>
      </c>
      <c r="N117">
        <v>143800000</v>
      </c>
      <c r="O117">
        <v>211.47</v>
      </c>
      <c r="P117" t="s">
        <v>40</v>
      </c>
    </row>
    <row r="118" spans="1:16" x14ac:dyDescent="0.3">
      <c r="A118" s="1" t="s">
        <v>710</v>
      </c>
      <c r="B118" s="2">
        <v>41360</v>
      </c>
      <c r="C118">
        <v>2013</v>
      </c>
      <c r="D118" s="1" t="s">
        <v>25</v>
      </c>
      <c r="E118" s="1" t="s">
        <v>711</v>
      </c>
      <c r="F118" s="1" t="s">
        <v>19</v>
      </c>
      <c r="G118" s="1" t="s">
        <v>46</v>
      </c>
      <c r="H118" s="1" t="s">
        <v>712</v>
      </c>
      <c r="I118" s="1" t="s">
        <v>393</v>
      </c>
      <c r="J118" s="1" t="s">
        <v>82</v>
      </c>
      <c r="K118" s="1" t="s">
        <v>713</v>
      </c>
      <c r="L118">
        <v>130000000</v>
      </c>
      <c r="M118">
        <v>375700000</v>
      </c>
      <c r="N118">
        <v>245700000</v>
      </c>
      <c r="O118">
        <v>189</v>
      </c>
      <c r="P118" t="s">
        <v>40</v>
      </c>
    </row>
    <row r="119" spans="1:16" x14ac:dyDescent="0.3">
      <c r="A119" s="1" t="s">
        <v>714</v>
      </c>
      <c r="B119" s="2">
        <v>41285</v>
      </c>
      <c r="C119">
        <v>2013</v>
      </c>
      <c r="D119" s="1" t="s">
        <v>25</v>
      </c>
      <c r="E119" s="1" t="s">
        <v>715</v>
      </c>
      <c r="F119" s="1" t="s">
        <v>19</v>
      </c>
      <c r="G119" s="1" t="s">
        <v>716</v>
      </c>
      <c r="H119" s="1" t="s">
        <v>169</v>
      </c>
      <c r="I119" s="1" t="s">
        <v>717</v>
      </c>
      <c r="J119" s="1" t="s">
        <v>718</v>
      </c>
      <c r="K119" s="1" t="s">
        <v>719</v>
      </c>
      <c r="L119">
        <v>75000000</v>
      </c>
      <c r="M119">
        <v>105200000</v>
      </c>
      <c r="N119">
        <v>30200000</v>
      </c>
      <c r="O119">
        <v>40.270000000000003</v>
      </c>
      <c r="P119" t="s">
        <v>32</v>
      </c>
    </row>
    <row r="120" spans="1:16" x14ac:dyDescent="0.3">
      <c r="A120" s="1" t="s">
        <v>720</v>
      </c>
      <c r="B120" s="2">
        <v>42090</v>
      </c>
      <c r="C120">
        <v>2015</v>
      </c>
      <c r="D120" s="1" t="s">
        <v>42</v>
      </c>
      <c r="E120" s="1" t="s">
        <v>721</v>
      </c>
      <c r="F120" s="1" t="s">
        <v>19</v>
      </c>
      <c r="G120" s="1" t="s">
        <v>476</v>
      </c>
      <c r="H120" s="1" t="s">
        <v>394</v>
      </c>
      <c r="I120" s="1" t="s">
        <v>722</v>
      </c>
      <c r="J120" s="1" t="s">
        <v>723</v>
      </c>
      <c r="K120" s="1" t="s">
        <v>724</v>
      </c>
      <c r="L120">
        <v>40000000</v>
      </c>
      <c r="M120">
        <v>111800000</v>
      </c>
      <c r="N120">
        <v>71800000</v>
      </c>
      <c r="O120">
        <v>179.5</v>
      </c>
      <c r="P120" t="s">
        <v>40</v>
      </c>
    </row>
    <row r="121" spans="1:16" x14ac:dyDescent="0.3">
      <c r="A121" s="1" t="s">
        <v>725</v>
      </c>
      <c r="B121" s="2">
        <v>41852</v>
      </c>
      <c r="C121">
        <v>2014</v>
      </c>
      <c r="D121" s="1" t="s">
        <v>74</v>
      </c>
      <c r="E121" s="1" t="s">
        <v>726</v>
      </c>
      <c r="F121" s="1" t="s">
        <v>19</v>
      </c>
      <c r="G121" s="1" t="s">
        <v>62</v>
      </c>
      <c r="H121" s="1" t="s">
        <v>727</v>
      </c>
      <c r="I121" s="1" t="s">
        <v>728</v>
      </c>
      <c r="J121" s="1" t="s">
        <v>729</v>
      </c>
      <c r="K121" s="1" t="s">
        <v>730</v>
      </c>
      <c r="L121">
        <v>30000000</v>
      </c>
      <c r="M121">
        <v>33400000</v>
      </c>
      <c r="N121">
        <v>3400000</v>
      </c>
      <c r="O121">
        <v>11.33</v>
      </c>
      <c r="P121" t="s">
        <v>32</v>
      </c>
    </row>
    <row r="122" spans="1:16" x14ac:dyDescent="0.3">
      <c r="A122" s="1" t="s">
        <v>731</v>
      </c>
      <c r="B122" s="2">
        <v>41516</v>
      </c>
      <c r="C122">
        <v>2013</v>
      </c>
      <c r="D122" s="1" t="s">
        <v>25</v>
      </c>
      <c r="E122" s="1" t="s">
        <v>732</v>
      </c>
      <c r="F122" s="1" t="s">
        <v>733</v>
      </c>
      <c r="G122" s="1" t="s">
        <v>334</v>
      </c>
      <c r="H122" s="1" t="s">
        <v>734</v>
      </c>
      <c r="I122" s="1" t="s">
        <v>735</v>
      </c>
      <c r="J122" s="1" t="s">
        <v>736</v>
      </c>
      <c r="K122" s="1" t="s">
        <v>19</v>
      </c>
      <c r="L122">
        <v>18000000</v>
      </c>
      <c r="M122">
        <v>11800000</v>
      </c>
      <c r="N122">
        <v>-6200000</v>
      </c>
      <c r="O122">
        <v>-34.44</v>
      </c>
      <c r="P122" t="s">
        <v>72</v>
      </c>
    </row>
    <row r="123" spans="1:16" x14ac:dyDescent="0.3">
      <c r="A123" s="1" t="s">
        <v>737</v>
      </c>
      <c r="B123" s="2">
        <v>40956</v>
      </c>
      <c r="C123">
        <v>2012</v>
      </c>
      <c r="D123" s="1" t="s">
        <v>25</v>
      </c>
      <c r="E123" s="1" t="s">
        <v>738</v>
      </c>
      <c r="F123" s="1" t="s">
        <v>739</v>
      </c>
      <c r="G123" s="1" t="s">
        <v>740</v>
      </c>
      <c r="H123" s="1" t="s">
        <v>741</v>
      </c>
      <c r="I123" s="1" t="s">
        <v>742</v>
      </c>
      <c r="J123" s="1" t="s">
        <v>743</v>
      </c>
      <c r="K123" s="1" t="s">
        <v>744</v>
      </c>
      <c r="L123">
        <v>57000000</v>
      </c>
      <c r="M123">
        <v>132600000</v>
      </c>
      <c r="N123">
        <v>75600000</v>
      </c>
      <c r="O123">
        <v>132.63</v>
      </c>
      <c r="P123" t="s">
        <v>40</v>
      </c>
    </row>
    <row r="124" spans="1:16" x14ac:dyDescent="0.3">
      <c r="A124" s="1" t="s">
        <v>745</v>
      </c>
      <c r="B124" s="2">
        <v>42566</v>
      </c>
      <c r="C124">
        <v>2016</v>
      </c>
      <c r="D124" s="1" t="s">
        <v>42</v>
      </c>
      <c r="E124" s="1" t="s">
        <v>746</v>
      </c>
      <c r="F124" s="1" t="s">
        <v>19</v>
      </c>
      <c r="G124" s="1" t="s">
        <v>747</v>
      </c>
      <c r="H124" s="1" t="s">
        <v>523</v>
      </c>
      <c r="I124" s="1" t="s">
        <v>748</v>
      </c>
      <c r="J124" s="1" t="s">
        <v>749</v>
      </c>
      <c r="K124" s="1" t="s">
        <v>317</v>
      </c>
      <c r="L124">
        <v>144000000</v>
      </c>
      <c r="M124">
        <v>217500000</v>
      </c>
      <c r="N124">
        <v>73500000</v>
      </c>
      <c r="O124">
        <v>51.04</v>
      </c>
      <c r="P124" t="s">
        <v>32</v>
      </c>
    </row>
    <row r="125" spans="1:16" x14ac:dyDescent="0.3">
      <c r="A125" s="1" t="s">
        <v>750</v>
      </c>
      <c r="B125" s="2">
        <v>41719</v>
      </c>
      <c r="C125">
        <v>2014</v>
      </c>
      <c r="D125" s="1" t="s">
        <v>751</v>
      </c>
      <c r="E125" s="1" t="s">
        <v>752</v>
      </c>
      <c r="F125" s="1" t="s">
        <v>19</v>
      </c>
      <c r="G125" s="1" t="s">
        <v>753</v>
      </c>
      <c r="H125" s="1" t="s">
        <v>754</v>
      </c>
      <c r="I125" s="1" t="s">
        <v>755</v>
      </c>
      <c r="J125" s="1" t="s">
        <v>756</v>
      </c>
      <c r="K125" s="1" t="s">
        <v>757</v>
      </c>
      <c r="L125">
        <v>2000000</v>
      </c>
      <c r="M125">
        <v>62600000</v>
      </c>
      <c r="N125">
        <v>60600000</v>
      </c>
      <c r="O125">
        <v>3030</v>
      </c>
      <c r="P125" t="s">
        <v>23</v>
      </c>
    </row>
    <row r="126" spans="1:16" x14ac:dyDescent="0.3">
      <c r="A126" s="1" t="s">
        <v>758</v>
      </c>
      <c r="B126" s="2">
        <v>42461</v>
      </c>
      <c r="C126">
        <v>2016</v>
      </c>
      <c r="D126" s="1" t="s">
        <v>751</v>
      </c>
      <c r="E126" s="1" t="s">
        <v>752</v>
      </c>
      <c r="F126" s="1" t="s">
        <v>19</v>
      </c>
      <c r="G126" s="1" t="s">
        <v>759</v>
      </c>
      <c r="H126" s="1" t="s">
        <v>754</v>
      </c>
      <c r="I126" s="1" t="s">
        <v>260</v>
      </c>
      <c r="J126" s="1" t="s">
        <v>760</v>
      </c>
      <c r="K126" s="1" t="s">
        <v>761</v>
      </c>
      <c r="L126">
        <v>5000000</v>
      </c>
      <c r="M126">
        <v>23500000</v>
      </c>
      <c r="N126">
        <v>18500000</v>
      </c>
      <c r="O126">
        <v>370</v>
      </c>
      <c r="P126" t="s">
        <v>23</v>
      </c>
    </row>
    <row r="127" spans="1:16" x14ac:dyDescent="0.3">
      <c r="A127" s="1" t="s">
        <v>762</v>
      </c>
      <c r="B127" s="2">
        <v>42425</v>
      </c>
      <c r="C127">
        <v>2016</v>
      </c>
      <c r="D127" s="1" t="s">
        <v>25</v>
      </c>
      <c r="E127" s="1" t="s">
        <v>763</v>
      </c>
      <c r="F127" s="1" t="s">
        <v>19</v>
      </c>
      <c r="G127" s="1" t="s">
        <v>764</v>
      </c>
      <c r="H127" s="1" t="s">
        <v>410</v>
      </c>
      <c r="I127" s="1" t="s">
        <v>765</v>
      </c>
      <c r="J127" s="1" t="s">
        <v>766</v>
      </c>
      <c r="K127" s="1" t="s">
        <v>767</v>
      </c>
      <c r="L127">
        <v>140000000</v>
      </c>
      <c r="M127">
        <v>145700000</v>
      </c>
      <c r="N127">
        <v>5700000</v>
      </c>
      <c r="O127">
        <v>4.07</v>
      </c>
      <c r="P127" t="s">
        <v>32</v>
      </c>
    </row>
    <row r="128" spans="1:16" x14ac:dyDescent="0.3">
      <c r="A128" s="1" t="s">
        <v>768</v>
      </c>
      <c r="B128" s="2">
        <v>41767</v>
      </c>
      <c r="C128">
        <v>2014</v>
      </c>
      <c r="D128" s="1" t="s">
        <v>25</v>
      </c>
      <c r="E128" s="1" t="s">
        <v>769</v>
      </c>
      <c r="F128" s="1" t="s">
        <v>19</v>
      </c>
      <c r="G128" s="1" t="s">
        <v>770</v>
      </c>
      <c r="H128" s="1" t="s">
        <v>771</v>
      </c>
      <c r="I128" s="1" t="s">
        <v>772</v>
      </c>
      <c r="J128" s="1" t="s">
        <v>227</v>
      </c>
      <c r="K128" s="1" t="s">
        <v>773</v>
      </c>
      <c r="L128">
        <v>160000000</v>
      </c>
      <c r="M128">
        <v>529000000</v>
      </c>
      <c r="N128">
        <v>369000000</v>
      </c>
      <c r="O128">
        <v>230.62</v>
      </c>
      <c r="P128" t="s">
        <v>40</v>
      </c>
    </row>
    <row r="129" spans="1:16" x14ac:dyDescent="0.3">
      <c r="A129" s="1" t="s">
        <v>774</v>
      </c>
      <c r="B129" s="2">
        <v>41908</v>
      </c>
      <c r="C129">
        <v>2014</v>
      </c>
      <c r="D129" s="1" t="s">
        <v>286</v>
      </c>
      <c r="E129" s="1" t="s">
        <v>775</v>
      </c>
      <c r="F129" s="1" t="s">
        <v>19</v>
      </c>
      <c r="G129" s="1" t="s">
        <v>225</v>
      </c>
      <c r="H129" s="1" t="s">
        <v>776</v>
      </c>
      <c r="I129" s="1" t="s">
        <v>777</v>
      </c>
      <c r="J129" s="1" t="s">
        <v>160</v>
      </c>
      <c r="K129" s="1" t="s">
        <v>778</v>
      </c>
      <c r="L129">
        <v>61000000</v>
      </c>
      <c r="M129">
        <v>369300000</v>
      </c>
      <c r="N129">
        <v>308300000</v>
      </c>
      <c r="O129">
        <v>505.41</v>
      </c>
      <c r="P129" t="s">
        <v>23</v>
      </c>
    </row>
    <row r="130" spans="1:16" x14ac:dyDescent="0.3">
      <c r="A130" s="1" t="s">
        <v>779</v>
      </c>
      <c r="B130" s="2">
        <v>40963</v>
      </c>
      <c r="C130">
        <v>2012</v>
      </c>
      <c r="D130" s="1" t="s">
        <v>166</v>
      </c>
      <c r="E130" s="1" t="s">
        <v>160</v>
      </c>
      <c r="F130" s="1" t="s">
        <v>19</v>
      </c>
      <c r="G130" s="1" t="s">
        <v>160</v>
      </c>
      <c r="H130" s="1" t="s">
        <v>780</v>
      </c>
      <c r="I130" s="1" t="s">
        <v>781</v>
      </c>
      <c r="J130" s="1" t="s">
        <v>782</v>
      </c>
      <c r="K130" s="1" t="s">
        <v>783</v>
      </c>
      <c r="L130">
        <v>14000000</v>
      </c>
      <c r="M130">
        <v>35600000</v>
      </c>
      <c r="N130">
        <v>21600000</v>
      </c>
      <c r="O130">
        <v>154.29</v>
      </c>
      <c r="P130" t="s">
        <v>40</v>
      </c>
    </row>
    <row r="131" spans="1:16" x14ac:dyDescent="0.3">
      <c r="A131" s="1" t="s">
        <v>784</v>
      </c>
      <c r="B131" s="2">
        <v>42282</v>
      </c>
      <c r="C131">
        <v>2015</v>
      </c>
      <c r="D131" s="1" t="s">
        <v>25</v>
      </c>
      <c r="E131" s="1" t="s">
        <v>785</v>
      </c>
      <c r="F131" s="1" t="s">
        <v>19</v>
      </c>
      <c r="G131" s="1" t="s">
        <v>786</v>
      </c>
      <c r="H131" s="1" t="s">
        <v>563</v>
      </c>
      <c r="I131" s="1" t="s">
        <v>787</v>
      </c>
      <c r="J131" s="1" t="s">
        <v>346</v>
      </c>
      <c r="K131" s="1" t="s">
        <v>788</v>
      </c>
      <c r="L131">
        <v>84000000</v>
      </c>
      <c r="M131">
        <v>150200000</v>
      </c>
      <c r="N131">
        <v>66200000</v>
      </c>
      <c r="O131">
        <v>78.81</v>
      </c>
      <c r="P131" t="s">
        <v>32</v>
      </c>
    </row>
    <row r="132" spans="1:16" x14ac:dyDescent="0.3">
      <c r="A132" s="1" t="s">
        <v>789</v>
      </c>
      <c r="B132" s="2">
        <v>41467</v>
      </c>
      <c r="C132">
        <v>2013</v>
      </c>
      <c r="D132" s="1" t="s">
        <v>42</v>
      </c>
      <c r="E132" s="1" t="s">
        <v>790</v>
      </c>
      <c r="F132" s="1" t="s">
        <v>19</v>
      </c>
      <c r="G132" s="1" t="s">
        <v>323</v>
      </c>
      <c r="H132" s="1" t="s">
        <v>791</v>
      </c>
      <c r="I132" s="1" t="s">
        <v>792</v>
      </c>
      <c r="J132" s="1" t="s">
        <v>793</v>
      </c>
      <c r="K132" s="1" t="s">
        <v>794</v>
      </c>
      <c r="L132">
        <v>80000000</v>
      </c>
      <c r="M132">
        <v>247000000</v>
      </c>
      <c r="N132">
        <v>167000000</v>
      </c>
      <c r="O132">
        <v>208.75</v>
      </c>
      <c r="P132" t="s">
        <v>40</v>
      </c>
    </row>
    <row r="133" spans="1:16" x14ac:dyDescent="0.3">
      <c r="A133" s="1" t="s">
        <v>795</v>
      </c>
      <c r="B133" s="2">
        <v>42405</v>
      </c>
      <c r="C133">
        <v>2016</v>
      </c>
      <c r="D133" s="1" t="s">
        <v>42</v>
      </c>
      <c r="E133" s="1" t="s">
        <v>796</v>
      </c>
      <c r="F133" s="1" t="s">
        <v>19</v>
      </c>
      <c r="G133" s="1" t="s">
        <v>718</v>
      </c>
      <c r="H133" s="1" t="s">
        <v>797</v>
      </c>
      <c r="I133" s="1" t="s">
        <v>798</v>
      </c>
      <c r="J133" s="1" t="s">
        <v>799</v>
      </c>
      <c r="K133" s="1" t="s">
        <v>45</v>
      </c>
      <c r="L133">
        <v>22000000</v>
      </c>
      <c r="M133">
        <v>22000000</v>
      </c>
      <c r="N133">
        <v>0</v>
      </c>
      <c r="O133">
        <v>0</v>
      </c>
      <c r="P133" t="s">
        <v>32</v>
      </c>
    </row>
    <row r="134" spans="1:16" x14ac:dyDescent="0.3">
      <c r="A134" s="1" t="s">
        <v>800</v>
      </c>
      <c r="B134" s="2">
        <v>42608</v>
      </c>
      <c r="C134">
        <v>2016</v>
      </c>
      <c r="D134" s="1" t="s">
        <v>59</v>
      </c>
      <c r="E134" s="1" t="s">
        <v>801</v>
      </c>
      <c r="F134" s="1" t="s">
        <v>19</v>
      </c>
      <c r="G134" s="1" t="s">
        <v>516</v>
      </c>
      <c r="H134" s="1" t="s">
        <v>802</v>
      </c>
      <c r="I134" s="1" t="s">
        <v>803</v>
      </c>
      <c r="J134" s="1" t="s">
        <v>804</v>
      </c>
      <c r="K134" s="1" t="s">
        <v>805</v>
      </c>
      <c r="L134">
        <v>20000000</v>
      </c>
      <c r="M134">
        <v>1700000</v>
      </c>
      <c r="N134">
        <v>-18300000</v>
      </c>
      <c r="O134">
        <v>-91.5</v>
      </c>
      <c r="P134" t="s">
        <v>72</v>
      </c>
    </row>
    <row r="135" spans="1:16" x14ac:dyDescent="0.3">
      <c r="A135" s="1" t="s">
        <v>806</v>
      </c>
      <c r="B135" s="2">
        <v>41291</v>
      </c>
      <c r="C135">
        <v>2013</v>
      </c>
      <c r="D135" s="1" t="s">
        <v>25</v>
      </c>
      <c r="E135" s="1" t="s">
        <v>807</v>
      </c>
      <c r="F135" s="1" t="s">
        <v>19</v>
      </c>
      <c r="G135" s="1" t="s">
        <v>808</v>
      </c>
      <c r="H135" s="1" t="s">
        <v>809</v>
      </c>
      <c r="I135" s="1" t="s">
        <v>810</v>
      </c>
      <c r="J135" s="1" t="s">
        <v>811</v>
      </c>
      <c r="K135" s="1" t="s">
        <v>812</v>
      </c>
      <c r="L135">
        <v>50000000</v>
      </c>
      <c r="M135">
        <v>226300000</v>
      </c>
      <c r="N135">
        <v>176300000</v>
      </c>
      <c r="O135">
        <v>352.6</v>
      </c>
      <c r="P135" t="s">
        <v>23</v>
      </c>
    </row>
    <row r="136" spans="1:16" x14ac:dyDescent="0.3">
      <c r="A136" s="1" t="s">
        <v>813</v>
      </c>
      <c r="B136" s="2">
        <v>41745</v>
      </c>
      <c r="C136">
        <v>2014</v>
      </c>
      <c r="D136" s="1" t="s">
        <v>751</v>
      </c>
      <c r="E136" s="1" t="s">
        <v>814</v>
      </c>
      <c r="F136" s="1" t="s">
        <v>19</v>
      </c>
      <c r="G136" s="1" t="s">
        <v>815</v>
      </c>
      <c r="H136" s="1" t="s">
        <v>816</v>
      </c>
      <c r="I136" s="1" t="s">
        <v>817</v>
      </c>
      <c r="J136" s="1" t="s">
        <v>818</v>
      </c>
      <c r="K136" s="1" t="s">
        <v>819</v>
      </c>
      <c r="L136">
        <v>12000000</v>
      </c>
      <c r="M136">
        <v>101300000</v>
      </c>
      <c r="N136">
        <v>89300000</v>
      </c>
      <c r="O136">
        <v>744.17</v>
      </c>
      <c r="P136" t="s">
        <v>23</v>
      </c>
    </row>
    <row r="137" spans="1:16" x14ac:dyDescent="0.3">
      <c r="A137" s="1" t="s">
        <v>820</v>
      </c>
      <c r="B137" s="2">
        <v>41194</v>
      </c>
      <c r="C137">
        <v>2012</v>
      </c>
      <c r="D137" s="1" t="s">
        <v>42</v>
      </c>
      <c r="E137" s="1" t="s">
        <v>322</v>
      </c>
      <c r="F137" s="1" t="s">
        <v>19</v>
      </c>
      <c r="G137" s="1" t="s">
        <v>791</v>
      </c>
      <c r="H137" s="1" t="s">
        <v>821</v>
      </c>
      <c r="I137" s="1" t="s">
        <v>822</v>
      </c>
      <c r="J137" s="1" t="s">
        <v>823</v>
      </c>
      <c r="K137" s="1" t="s">
        <v>19</v>
      </c>
      <c r="L137">
        <v>42000000</v>
      </c>
      <c r="M137">
        <v>73100000</v>
      </c>
      <c r="N137">
        <v>31100000</v>
      </c>
      <c r="O137">
        <v>74.05</v>
      </c>
      <c r="P137" t="s">
        <v>32</v>
      </c>
    </row>
    <row r="138" spans="1:16" x14ac:dyDescent="0.3">
      <c r="A138" s="1" t="s">
        <v>824</v>
      </c>
      <c r="B138" s="2">
        <v>41143</v>
      </c>
      <c r="C138">
        <v>2012</v>
      </c>
      <c r="D138" s="1" t="s">
        <v>25</v>
      </c>
      <c r="E138" s="1" t="s">
        <v>825</v>
      </c>
      <c r="F138" s="1" t="s">
        <v>19</v>
      </c>
      <c r="G138" s="1" t="s">
        <v>825</v>
      </c>
      <c r="H138" s="1" t="s">
        <v>241</v>
      </c>
      <c r="I138" s="1" t="s">
        <v>168</v>
      </c>
      <c r="J138" s="1" t="s">
        <v>826</v>
      </c>
      <c r="K138" s="1" t="s">
        <v>827</v>
      </c>
      <c r="L138">
        <v>2000000</v>
      </c>
      <c r="M138">
        <v>14500000</v>
      </c>
      <c r="N138">
        <v>12500000</v>
      </c>
      <c r="O138">
        <v>625</v>
      </c>
      <c r="P138" t="s">
        <v>23</v>
      </c>
    </row>
    <row r="139" spans="1:16" x14ac:dyDescent="0.3">
      <c r="A139" s="1" t="s">
        <v>828</v>
      </c>
      <c r="B139" s="2">
        <v>42237</v>
      </c>
      <c r="C139">
        <v>2015</v>
      </c>
      <c r="D139" s="1" t="s">
        <v>25</v>
      </c>
      <c r="E139" s="1" t="s">
        <v>829</v>
      </c>
      <c r="F139" s="1" t="s">
        <v>19</v>
      </c>
      <c r="G139" s="1" t="s">
        <v>830</v>
      </c>
      <c r="H139" s="1" t="s">
        <v>831</v>
      </c>
      <c r="I139" s="1" t="s">
        <v>832</v>
      </c>
      <c r="J139" s="1" t="s">
        <v>833</v>
      </c>
      <c r="K139" s="1" t="s">
        <v>19</v>
      </c>
      <c r="L139">
        <v>35000000</v>
      </c>
      <c r="M139">
        <v>82300000</v>
      </c>
      <c r="N139">
        <v>47300000</v>
      </c>
      <c r="O139">
        <v>135.13999999999999</v>
      </c>
      <c r="P139" t="s">
        <v>40</v>
      </c>
    </row>
    <row r="140" spans="1:16" x14ac:dyDescent="0.3">
      <c r="A140" s="1" t="s">
        <v>834</v>
      </c>
      <c r="B140" s="2">
        <v>42070</v>
      </c>
      <c r="C140">
        <v>2015</v>
      </c>
      <c r="D140" s="1" t="s">
        <v>835</v>
      </c>
      <c r="E140" s="1" t="s">
        <v>836</v>
      </c>
      <c r="F140" s="1" t="s">
        <v>19</v>
      </c>
      <c r="G140" s="1" t="s">
        <v>837</v>
      </c>
      <c r="H140" s="1" t="s">
        <v>274</v>
      </c>
      <c r="I140" s="1" t="s">
        <v>838</v>
      </c>
      <c r="J140" s="1" t="s">
        <v>839</v>
      </c>
      <c r="K140" s="1" t="s">
        <v>840</v>
      </c>
      <c r="L140">
        <v>135000000</v>
      </c>
      <c r="M140">
        <v>386000000</v>
      </c>
      <c r="N140">
        <v>251000000</v>
      </c>
      <c r="O140">
        <v>185.93</v>
      </c>
      <c r="P140" t="s">
        <v>40</v>
      </c>
    </row>
    <row r="141" spans="1:16" x14ac:dyDescent="0.3">
      <c r="A141" s="1" t="s">
        <v>841</v>
      </c>
      <c r="B141" s="2">
        <v>41129</v>
      </c>
      <c r="C141">
        <v>2012</v>
      </c>
      <c r="D141" s="1" t="s">
        <v>166</v>
      </c>
      <c r="E141" s="1" t="s">
        <v>842</v>
      </c>
      <c r="F141" s="1" t="s">
        <v>19</v>
      </c>
      <c r="G141" s="1" t="s">
        <v>679</v>
      </c>
      <c r="H141" s="1" t="s">
        <v>464</v>
      </c>
      <c r="I141" s="1" t="s">
        <v>522</v>
      </c>
      <c r="J141" s="1" t="s">
        <v>843</v>
      </c>
      <c r="K141" s="1" t="s">
        <v>412</v>
      </c>
      <c r="L141">
        <v>30000000</v>
      </c>
      <c r="M141">
        <v>114300000</v>
      </c>
      <c r="N141">
        <v>84300000</v>
      </c>
      <c r="O141">
        <v>281</v>
      </c>
      <c r="P141" t="s">
        <v>40</v>
      </c>
    </row>
    <row r="142" spans="1:16" x14ac:dyDescent="0.3">
      <c r="A142" s="1" t="s">
        <v>844</v>
      </c>
      <c r="B142" s="2">
        <v>41969</v>
      </c>
      <c r="C142">
        <v>2014</v>
      </c>
      <c r="D142" s="1" t="s">
        <v>42</v>
      </c>
      <c r="E142" s="1" t="s">
        <v>474</v>
      </c>
      <c r="F142" s="1" t="s">
        <v>19</v>
      </c>
      <c r="G142" s="1" t="s">
        <v>845</v>
      </c>
      <c r="H142" s="1" t="s">
        <v>846</v>
      </c>
      <c r="I142" s="1" t="s">
        <v>642</v>
      </c>
      <c r="J142" s="1" t="s">
        <v>847</v>
      </c>
      <c r="K142" s="1" t="s">
        <v>848</v>
      </c>
      <c r="L142">
        <v>57000000</v>
      </c>
      <c r="M142">
        <v>107700000</v>
      </c>
      <c r="N142">
        <v>50700000</v>
      </c>
      <c r="O142">
        <v>88.95</v>
      </c>
      <c r="P142" t="s">
        <v>32</v>
      </c>
    </row>
    <row r="143" spans="1:16" x14ac:dyDescent="0.3">
      <c r="A143" s="1" t="s">
        <v>849</v>
      </c>
      <c r="B143" s="2">
        <v>42132</v>
      </c>
      <c r="C143">
        <v>2015</v>
      </c>
      <c r="D143" s="1" t="s">
        <v>25</v>
      </c>
      <c r="E143" s="1" t="s">
        <v>850</v>
      </c>
      <c r="F143" s="1" t="s">
        <v>19</v>
      </c>
      <c r="G143" s="1" t="s">
        <v>851</v>
      </c>
      <c r="H143" s="1" t="s">
        <v>416</v>
      </c>
      <c r="I143" s="1" t="s">
        <v>852</v>
      </c>
      <c r="J143" s="1" t="s">
        <v>853</v>
      </c>
      <c r="K143" s="1" t="s">
        <v>19</v>
      </c>
      <c r="L143">
        <v>35000000</v>
      </c>
      <c r="M143">
        <v>51700000</v>
      </c>
      <c r="N143">
        <v>16700000</v>
      </c>
      <c r="O143">
        <v>47.71</v>
      </c>
      <c r="P143" t="s">
        <v>32</v>
      </c>
    </row>
    <row r="144" spans="1:16" x14ac:dyDescent="0.3">
      <c r="A144" s="1" t="s">
        <v>854</v>
      </c>
      <c r="B144" s="2">
        <v>41180</v>
      </c>
      <c r="C144">
        <v>2012</v>
      </c>
      <c r="D144" s="1" t="s">
        <v>279</v>
      </c>
      <c r="E144" s="1" t="s">
        <v>855</v>
      </c>
      <c r="F144" s="1" t="s">
        <v>19</v>
      </c>
      <c r="G144" s="1" t="s">
        <v>323</v>
      </c>
      <c r="H144" s="1" t="s">
        <v>734</v>
      </c>
      <c r="I144" s="1" t="s">
        <v>450</v>
      </c>
      <c r="J144" s="1" t="s">
        <v>791</v>
      </c>
      <c r="K144" s="1" t="s">
        <v>856</v>
      </c>
      <c r="L144">
        <v>85000000</v>
      </c>
      <c r="M144">
        <v>358400000</v>
      </c>
      <c r="N144">
        <v>273400000</v>
      </c>
      <c r="O144">
        <v>321.64999999999998</v>
      </c>
      <c r="P144" t="s">
        <v>23</v>
      </c>
    </row>
    <row r="145" spans="1:16" x14ac:dyDescent="0.3">
      <c r="A145" s="1" t="s">
        <v>857</v>
      </c>
      <c r="B145" s="2">
        <v>42272</v>
      </c>
      <c r="C145">
        <v>2015</v>
      </c>
      <c r="D145" s="1" t="s">
        <v>279</v>
      </c>
      <c r="E145" s="1" t="s">
        <v>855</v>
      </c>
      <c r="F145" s="1" t="s">
        <v>19</v>
      </c>
      <c r="G145" s="1" t="s">
        <v>323</v>
      </c>
      <c r="H145" s="1" t="s">
        <v>450</v>
      </c>
      <c r="I145" s="1" t="s">
        <v>734</v>
      </c>
      <c r="J145" s="1" t="s">
        <v>791</v>
      </c>
      <c r="K145" s="1" t="s">
        <v>858</v>
      </c>
      <c r="L145">
        <v>80000000</v>
      </c>
      <c r="M145">
        <v>473000000</v>
      </c>
      <c r="N145">
        <v>393000000</v>
      </c>
      <c r="O145">
        <v>491.25</v>
      </c>
      <c r="P145" t="s">
        <v>23</v>
      </c>
    </row>
    <row r="146" spans="1:16" x14ac:dyDescent="0.3">
      <c r="A146" s="1" t="s">
        <v>859</v>
      </c>
      <c r="B146" s="2">
        <v>41775</v>
      </c>
      <c r="C146">
        <v>2014</v>
      </c>
      <c r="D146" s="1" t="s">
        <v>445</v>
      </c>
      <c r="E146" s="1" t="s">
        <v>860</v>
      </c>
      <c r="F146" s="1" t="s">
        <v>19</v>
      </c>
      <c r="G146" s="1" t="s">
        <v>861</v>
      </c>
      <c r="H146" s="1" t="s">
        <v>410</v>
      </c>
      <c r="I146" s="1" t="s">
        <v>862</v>
      </c>
      <c r="J146" s="1" t="s">
        <v>397</v>
      </c>
      <c r="K146" s="1" t="s">
        <v>45</v>
      </c>
      <c r="L146">
        <v>145000000</v>
      </c>
      <c r="M146">
        <v>621500000</v>
      </c>
      <c r="N146">
        <v>476500000</v>
      </c>
      <c r="O146">
        <v>328.62</v>
      </c>
      <c r="P146" t="s">
        <v>23</v>
      </c>
    </row>
    <row r="147" spans="1:16" x14ac:dyDescent="0.3">
      <c r="A147" s="1" t="s">
        <v>863</v>
      </c>
      <c r="B147" s="2">
        <v>42018</v>
      </c>
      <c r="C147">
        <v>2015</v>
      </c>
      <c r="D147" s="1" t="s">
        <v>166</v>
      </c>
      <c r="E147" s="1" t="s">
        <v>864</v>
      </c>
      <c r="F147" s="1" t="s">
        <v>19</v>
      </c>
      <c r="G147" s="1" t="s">
        <v>865</v>
      </c>
      <c r="H147" s="1" t="s">
        <v>866</v>
      </c>
      <c r="I147" s="1" t="s">
        <v>867</v>
      </c>
      <c r="J147" s="1" t="s">
        <v>868</v>
      </c>
      <c r="K147" s="1" t="s">
        <v>869</v>
      </c>
      <c r="L147">
        <v>15000000</v>
      </c>
      <c r="M147">
        <v>65000000</v>
      </c>
      <c r="N147">
        <v>50000000</v>
      </c>
      <c r="O147">
        <v>333.33</v>
      </c>
      <c r="P147" t="s">
        <v>23</v>
      </c>
    </row>
    <row r="148" spans="1:16" x14ac:dyDescent="0.3">
      <c r="A148" s="1" t="s">
        <v>870</v>
      </c>
      <c r="B148" s="2">
        <v>42258</v>
      </c>
      <c r="C148">
        <v>2015</v>
      </c>
      <c r="D148" s="1" t="s">
        <v>74</v>
      </c>
      <c r="E148" s="1" t="s">
        <v>871</v>
      </c>
      <c r="F148" s="1" t="s">
        <v>470</v>
      </c>
      <c r="G148" s="1" t="s">
        <v>772</v>
      </c>
      <c r="H148" s="1" t="s">
        <v>19</v>
      </c>
      <c r="I148" s="1" t="s">
        <v>19</v>
      </c>
      <c r="J148" s="1" t="s">
        <v>19</v>
      </c>
      <c r="K148" s="1" t="s">
        <v>19</v>
      </c>
      <c r="L148">
        <v>13000000</v>
      </c>
      <c r="M148">
        <v>2600000</v>
      </c>
      <c r="N148">
        <v>-10400000</v>
      </c>
      <c r="O148">
        <v>-80</v>
      </c>
      <c r="P148" t="s">
        <v>72</v>
      </c>
    </row>
    <row r="149" spans="1:16" x14ac:dyDescent="0.3">
      <c r="A149" s="1" t="s">
        <v>872</v>
      </c>
      <c r="B149" s="2">
        <v>42573</v>
      </c>
      <c r="C149">
        <v>2016</v>
      </c>
      <c r="D149" s="1" t="s">
        <v>132</v>
      </c>
      <c r="E149" s="1" t="s">
        <v>873</v>
      </c>
      <c r="F149" s="1" t="s">
        <v>874</v>
      </c>
      <c r="G149" s="1" t="s">
        <v>875</v>
      </c>
      <c r="H149" s="1" t="s">
        <v>197</v>
      </c>
      <c r="I149" s="1" t="s">
        <v>579</v>
      </c>
      <c r="J149" s="1" t="s">
        <v>876</v>
      </c>
      <c r="K149" s="1" t="s">
        <v>838</v>
      </c>
      <c r="L149">
        <v>105000000</v>
      </c>
      <c r="M149">
        <v>368300000</v>
      </c>
      <c r="N149">
        <v>263300000</v>
      </c>
      <c r="O149">
        <v>250.76</v>
      </c>
      <c r="P149" t="s">
        <v>40</v>
      </c>
    </row>
    <row r="150" spans="1:16" x14ac:dyDescent="0.3">
      <c r="A150" s="1" t="s">
        <v>877</v>
      </c>
      <c r="B150" s="2">
        <v>41103</v>
      </c>
      <c r="C150">
        <v>2012</v>
      </c>
      <c r="D150" s="1" t="s">
        <v>132</v>
      </c>
      <c r="E150" s="1" t="s">
        <v>878</v>
      </c>
      <c r="F150" s="1" t="s">
        <v>873</v>
      </c>
      <c r="G150" s="1" t="s">
        <v>875</v>
      </c>
      <c r="H150" s="1" t="s">
        <v>197</v>
      </c>
      <c r="I150" s="1" t="s">
        <v>579</v>
      </c>
      <c r="J150" s="1" t="s">
        <v>876</v>
      </c>
      <c r="K150" s="1" t="s">
        <v>182</v>
      </c>
      <c r="L150">
        <v>95000000</v>
      </c>
      <c r="M150">
        <v>877000000</v>
      </c>
      <c r="N150">
        <v>782000000</v>
      </c>
      <c r="O150">
        <v>823.16</v>
      </c>
      <c r="P150" t="s">
        <v>23</v>
      </c>
    </row>
    <row r="151" spans="1:16" x14ac:dyDescent="0.3">
      <c r="A151" s="1" t="s">
        <v>879</v>
      </c>
      <c r="B151" s="2">
        <v>41313</v>
      </c>
      <c r="C151">
        <v>2013</v>
      </c>
      <c r="D151" s="1" t="s">
        <v>25</v>
      </c>
      <c r="E151" s="1" t="s">
        <v>880</v>
      </c>
      <c r="F151" s="1" t="s">
        <v>19</v>
      </c>
      <c r="G151" s="1" t="s">
        <v>845</v>
      </c>
      <c r="H151" s="1" t="s">
        <v>747</v>
      </c>
      <c r="I151" s="1" t="s">
        <v>881</v>
      </c>
      <c r="J151" s="1" t="s">
        <v>882</v>
      </c>
      <c r="K151" s="1" t="s">
        <v>122</v>
      </c>
      <c r="L151">
        <v>35000000</v>
      </c>
      <c r="M151">
        <v>174000000</v>
      </c>
      <c r="N151">
        <v>139000000</v>
      </c>
      <c r="O151">
        <v>397.14</v>
      </c>
      <c r="P151" t="s">
        <v>23</v>
      </c>
    </row>
    <row r="152" spans="1:16" x14ac:dyDescent="0.3">
      <c r="A152" s="1" t="s">
        <v>883</v>
      </c>
      <c r="B152" s="2">
        <v>41869</v>
      </c>
      <c r="C152">
        <v>2014</v>
      </c>
      <c r="D152" s="1" t="s">
        <v>74</v>
      </c>
      <c r="E152" s="1" t="s">
        <v>884</v>
      </c>
      <c r="F152" s="1" t="s">
        <v>19</v>
      </c>
      <c r="G152" s="1" t="s">
        <v>885</v>
      </c>
      <c r="H152" s="1" t="s">
        <v>886</v>
      </c>
      <c r="I152" s="1" t="s">
        <v>887</v>
      </c>
      <c r="J152" s="1" t="s">
        <v>888</v>
      </c>
      <c r="K152" s="1" t="s">
        <v>889</v>
      </c>
      <c r="L152">
        <v>11000000</v>
      </c>
      <c r="M152">
        <v>78900000</v>
      </c>
      <c r="N152">
        <v>67900000</v>
      </c>
      <c r="O152">
        <v>617.27</v>
      </c>
      <c r="P152" t="s">
        <v>23</v>
      </c>
    </row>
    <row r="153" spans="1:16" x14ac:dyDescent="0.3">
      <c r="A153" s="1" t="s">
        <v>890</v>
      </c>
      <c r="B153" s="2">
        <v>42349</v>
      </c>
      <c r="C153">
        <v>2015</v>
      </c>
      <c r="D153" s="1" t="s">
        <v>59</v>
      </c>
      <c r="E153" s="1" t="s">
        <v>891</v>
      </c>
      <c r="F153" s="1" t="s">
        <v>19</v>
      </c>
      <c r="G153" s="1" t="s">
        <v>317</v>
      </c>
      <c r="H153" s="1" t="s">
        <v>140</v>
      </c>
      <c r="I153" s="1" t="s">
        <v>892</v>
      </c>
      <c r="J153" s="1" t="s">
        <v>893</v>
      </c>
      <c r="K153" s="1" t="s">
        <v>443</v>
      </c>
      <c r="L153">
        <v>100000000</v>
      </c>
      <c r="M153">
        <v>93900000</v>
      </c>
      <c r="N153">
        <v>-6100000</v>
      </c>
      <c r="O153">
        <v>-6.1</v>
      </c>
      <c r="P153" t="s">
        <v>72</v>
      </c>
    </row>
    <row r="154" spans="1:16" x14ac:dyDescent="0.3">
      <c r="A154" s="1" t="s">
        <v>894</v>
      </c>
      <c r="B154" s="2">
        <v>42541</v>
      </c>
      <c r="C154">
        <v>2016</v>
      </c>
      <c r="D154" s="1" t="s">
        <v>25</v>
      </c>
      <c r="E154" s="1" t="s">
        <v>895</v>
      </c>
      <c r="F154" s="1" t="s">
        <v>19</v>
      </c>
      <c r="G154" s="1" t="s">
        <v>896</v>
      </c>
      <c r="H154" s="1" t="s">
        <v>897</v>
      </c>
      <c r="I154" s="1" t="s">
        <v>898</v>
      </c>
      <c r="J154" s="1" t="s">
        <v>899</v>
      </c>
      <c r="K154" s="1" t="s">
        <v>900</v>
      </c>
      <c r="L154">
        <v>165000000</v>
      </c>
      <c r="M154">
        <v>382300000</v>
      </c>
      <c r="N154">
        <v>217300000</v>
      </c>
      <c r="O154">
        <v>131.69999999999999</v>
      </c>
      <c r="P154" t="s">
        <v>40</v>
      </c>
    </row>
    <row r="155" spans="1:16" x14ac:dyDescent="0.3">
      <c r="A155" s="1" t="s">
        <v>901</v>
      </c>
      <c r="B155" s="2">
        <v>41530</v>
      </c>
      <c r="C155">
        <v>2013</v>
      </c>
      <c r="D155" s="1" t="s">
        <v>138</v>
      </c>
      <c r="E155" s="1" t="s">
        <v>902</v>
      </c>
      <c r="F155" s="1" t="s">
        <v>19</v>
      </c>
      <c r="G155" s="1" t="s">
        <v>903</v>
      </c>
      <c r="H155" s="1" t="s">
        <v>216</v>
      </c>
      <c r="I155" s="1" t="s">
        <v>904</v>
      </c>
      <c r="J155" s="1" t="s">
        <v>905</v>
      </c>
      <c r="K155" s="1" t="s">
        <v>19</v>
      </c>
      <c r="L155">
        <v>5000000</v>
      </c>
      <c r="M155">
        <v>161900000</v>
      </c>
      <c r="N155">
        <v>156900000</v>
      </c>
      <c r="O155">
        <v>3138</v>
      </c>
      <c r="P155" t="s">
        <v>23</v>
      </c>
    </row>
    <row r="156" spans="1:16" x14ac:dyDescent="0.3">
      <c r="A156" s="1" t="s">
        <v>906</v>
      </c>
      <c r="B156" s="2">
        <v>42160</v>
      </c>
      <c r="C156">
        <v>2015</v>
      </c>
      <c r="D156" s="1" t="s">
        <v>138</v>
      </c>
      <c r="E156" s="1" t="s">
        <v>907</v>
      </c>
      <c r="F156" s="1" t="s">
        <v>19</v>
      </c>
      <c r="G156" s="1" t="s">
        <v>908</v>
      </c>
      <c r="H156" s="1" t="s">
        <v>909</v>
      </c>
      <c r="I156" s="1" t="s">
        <v>910</v>
      </c>
      <c r="J156" s="1" t="s">
        <v>907</v>
      </c>
      <c r="K156" s="1" t="s">
        <v>904</v>
      </c>
      <c r="L156">
        <v>11000000</v>
      </c>
      <c r="M156">
        <v>113000000</v>
      </c>
      <c r="N156">
        <v>102000000</v>
      </c>
      <c r="O156">
        <v>927.27</v>
      </c>
      <c r="P156" t="s">
        <v>23</v>
      </c>
    </row>
    <row r="157" spans="1:16" x14ac:dyDescent="0.3">
      <c r="A157" s="1" t="s">
        <v>911</v>
      </c>
      <c r="B157" s="2">
        <v>41938</v>
      </c>
      <c r="C157">
        <v>2014</v>
      </c>
      <c r="D157" s="1" t="s">
        <v>145</v>
      </c>
      <c r="E157" s="1" t="s">
        <v>912</v>
      </c>
      <c r="F157" s="1" t="s">
        <v>19</v>
      </c>
      <c r="G157" s="1" t="s">
        <v>693</v>
      </c>
      <c r="H157" s="1" t="s">
        <v>913</v>
      </c>
      <c r="I157" s="1" t="s">
        <v>914</v>
      </c>
      <c r="J157" s="1" t="s">
        <v>106</v>
      </c>
      <c r="K157" s="1" t="s">
        <v>611</v>
      </c>
      <c r="L157">
        <v>165000000</v>
      </c>
      <c r="M157">
        <v>675100000</v>
      </c>
      <c r="N157">
        <v>510100000</v>
      </c>
      <c r="O157">
        <v>309.14999999999998</v>
      </c>
      <c r="P157" t="s">
        <v>23</v>
      </c>
    </row>
    <row r="158" spans="1:16" x14ac:dyDescent="0.3">
      <c r="A158" s="1" t="s">
        <v>915</v>
      </c>
      <c r="B158" s="2">
        <v>41859</v>
      </c>
      <c r="C158">
        <v>2014</v>
      </c>
      <c r="D158" s="1" t="s">
        <v>132</v>
      </c>
      <c r="E158" s="1" t="s">
        <v>916</v>
      </c>
      <c r="F158" s="1" t="s">
        <v>19</v>
      </c>
      <c r="G158" s="1" t="s">
        <v>917</v>
      </c>
      <c r="H158" s="1" t="s">
        <v>918</v>
      </c>
      <c r="I158" s="1" t="s">
        <v>919</v>
      </c>
      <c r="J158" s="1" t="s">
        <v>920</v>
      </c>
      <c r="K158" s="1" t="s">
        <v>19</v>
      </c>
      <c r="L158">
        <v>50000000</v>
      </c>
      <c r="M158">
        <v>161700000</v>
      </c>
      <c r="N158">
        <v>111700000</v>
      </c>
      <c r="O158">
        <v>223.4</v>
      </c>
      <c r="P158" t="s">
        <v>40</v>
      </c>
    </row>
    <row r="159" spans="1:16" x14ac:dyDescent="0.3">
      <c r="A159" s="1" t="s">
        <v>921</v>
      </c>
      <c r="B159" s="2">
        <v>41115</v>
      </c>
      <c r="C159">
        <v>2012</v>
      </c>
      <c r="D159" s="1" t="s">
        <v>42</v>
      </c>
      <c r="E159" s="1" t="s">
        <v>922</v>
      </c>
      <c r="F159" s="1" t="s">
        <v>19</v>
      </c>
      <c r="G159" s="1" t="s">
        <v>923</v>
      </c>
      <c r="H159" s="1" t="s">
        <v>924</v>
      </c>
      <c r="I159" s="1" t="s">
        <v>925</v>
      </c>
      <c r="J159" s="1" t="s">
        <v>926</v>
      </c>
      <c r="K159" s="1" t="s">
        <v>927</v>
      </c>
      <c r="L159">
        <v>7500000</v>
      </c>
      <c r="M159">
        <v>8100000</v>
      </c>
      <c r="N159">
        <v>600000</v>
      </c>
      <c r="O159">
        <v>8</v>
      </c>
      <c r="P159" t="s">
        <v>32</v>
      </c>
    </row>
    <row r="160" spans="1:16" x14ac:dyDescent="0.3">
      <c r="A160" s="1" t="s">
        <v>928</v>
      </c>
      <c r="B160" s="2">
        <v>42140</v>
      </c>
      <c r="C160">
        <v>2015</v>
      </c>
      <c r="D160" s="1" t="s">
        <v>286</v>
      </c>
      <c r="E160" s="1" t="s">
        <v>328</v>
      </c>
      <c r="F160" s="1" t="s">
        <v>19</v>
      </c>
      <c r="G160" s="1" t="s">
        <v>929</v>
      </c>
      <c r="H160" s="1" t="s">
        <v>169</v>
      </c>
      <c r="I160" s="1" t="s">
        <v>930</v>
      </c>
      <c r="J160" s="1" t="s">
        <v>889</v>
      </c>
      <c r="K160" s="1" t="s">
        <v>19</v>
      </c>
      <c r="L160">
        <v>11000000</v>
      </c>
      <c r="M160">
        <v>27400000</v>
      </c>
      <c r="N160">
        <v>16400000</v>
      </c>
      <c r="O160">
        <v>149.09</v>
      </c>
      <c r="P160" t="s">
        <v>40</v>
      </c>
    </row>
    <row r="161" spans="1:16" x14ac:dyDescent="0.3">
      <c r="A161" s="1" t="s">
        <v>931</v>
      </c>
      <c r="B161" s="2">
        <v>41264</v>
      </c>
      <c r="C161">
        <v>2012</v>
      </c>
      <c r="D161" s="1" t="s">
        <v>25</v>
      </c>
      <c r="E161" s="1" t="s">
        <v>932</v>
      </c>
      <c r="F161" s="1" t="s">
        <v>19</v>
      </c>
      <c r="G161" s="1" t="s">
        <v>608</v>
      </c>
      <c r="H161" s="1" t="s">
        <v>776</v>
      </c>
      <c r="I161" s="1" t="s">
        <v>108</v>
      </c>
      <c r="J161" s="1" t="s">
        <v>933</v>
      </c>
      <c r="K161" s="1" t="s">
        <v>934</v>
      </c>
      <c r="L161">
        <v>60000000</v>
      </c>
      <c r="M161">
        <v>218300000</v>
      </c>
      <c r="N161">
        <v>158300000</v>
      </c>
      <c r="O161">
        <v>263.83</v>
      </c>
      <c r="P161" t="s">
        <v>40</v>
      </c>
    </row>
    <row r="162" spans="1:16" x14ac:dyDescent="0.3">
      <c r="A162" s="1" t="s">
        <v>935</v>
      </c>
      <c r="B162" s="2">
        <v>41654</v>
      </c>
      <c r="C162">
        <v>2014</v>
      </c>
      <c r="D162" s="1" t="s">
        <v>25</v>
      </c>
      <c r="E162" s="1" t="s">
        <v>936</v>
      </c>
      <c r="F162" s="1" t="s">
        <v>19</v>
      </c>
      <c r="G162" s="1" t="s">
        <v>937</v>
      </c>
      <c r="H162" s="1" t="s">
        <v>938</v>
      </c>
      <c r="I162" s="1" t="s">
        <v>939</v>
      </c>
      <c r="J162" s="1" t="s">
        <v>940</v>
      </c>
      <c r="K162" s="1" t="s">
        <v>941</v>
      </c>
      <c r="L162">
        <v>60000000</v>
      </c>
      <c r="M162">
        <v>135500000</v>
      </c>
      <c r="N162">
        <v>75500000</v>
      </c>
      <c r="O162">
        <v>125.83</v>
      </c>
      <c r="P162" t="s">
        <v>40</v>
      </c>
    </row>
    <row r="163" spans="1:16" x14ac:dyDescent="0.3">
      <c r="A163" s="1" t="s">
        <v>942</v>
      </c>
      <c r="B163" s="2">
        <v>42398</v>
      </c>
      <c r="C163">
        <v>2016</v>
      </c>
      <c r="D163" s="1" t="s">
        <v>25</v>
      </c>
      <c r="E163" s="1" t="s">
        <v>943</v>
      </c>
      <c r="F163" s="1" t="s">
        <v>19</v>
      </c>
      <c r="G163" s="1" t="s">
        <v>944</v>
      </c>
      <c r="H163" s="1" t="s">
        <v>312</v>
      </c>
      <c r="I163" s="1" t="s">
        <v>945</v>
      </c>
      <c r="J163" s="1" t="s">
        <v>53</v>
      </c>
      <c r="K163" s="1" t="s">
        <v>946</v>
      </c>
      <c r="L163">
        <v>25000000</v>
      </c>
      <c r="M163">
        <v>3000000</v>
      </c>
      <c r="N163">
        <v>-22000000</v>
      </c>
      <c r="O163">
        <v>-88</v>
      </c>
      <c r="P163" t="s">
        <v>72</v>
      </c>
    </row>
    <row r="164" spans="1:16" x14ac:dyDescent="0.3">
      <c r="A164" s="1" t="s">
        <v>947</v>
      </c>
      <c r="B164" s="2">
        <v>42580</v>
      </c>
      <c r="C164">
        <v>2016</v>
      </c>
      <c r="D164" s="1" t="s">
        <v>25</v>
      </c>
      <c r="E164" s="1" t="s">
        <v>948</v>
      </c>
      <c r="F164" s="1" t="s">
        <v>19</v>
      </c>
      <c r="G164" s="1" t="s">
        <v>611</v>
      </c>
      <c r="H164" s="1" t="s">
        <v>949</v>
      </c>
      <c r="I164" s="1" t="s">
        <v>658</v>
      </c>
      <c r="J164" s="1" t="s">
        <v>950</v>
      </c>
      <c r="K164" s="1" t="s">
        <v>951</v>
      </c>
      <c r="L164">
        <v>120000000</v>
      </c>
      <c r="M164">
        <v>347900000</v>
      </c>
      <c r="N164">
        <v>227900000</v>
      </c>
      <c r="O164">
        <v>189.92</v>
      </c>
      <c r="P164" t="s">
        <v>40</v>
      </c>
    </row>
    <row r="165" spans="1:16" x14ac:dyDescent="0.3">
      <c r="A165" s="1" t="s">
        <v>952</v>
      </c>
      <c r="B165" s="2">
        <v>40984</v>
      </c>
      <c r="C165">
        <v>2012</v>
      </c>
      <c r="D165" s="1" t="s">
        <v>42</v>
      </c>
      <c r="E165" s="1" t="s">
        <v>953</v>
      </c>
      <c r="F165" s="1" t="s">
        <v>19</v>
      </c>
      <c r="G165" s="1" t="s">
        <v>954</v>
      </c>
      <c r="H165" s="1" t="s">
        <v>570</v>
      </c>
      <c r="I165" s="1" t="s">
        <v>955</v>
      </c>
      <c r="J165" s="1" t="s">
        <v>956</v>
      </c>
      <c r="K165" s="1" t="s">
        <v>957</v>
      </c>
      <c r="L165">
        <v>7500000</v>
      </c>
      <c r="M165">
        <v>7500000</v>
      </c>
      <c r="N165">
        <v>0</v>
      </c>
      <c r="O165">
        <v>0</v>
      </c>
      <c r="P165" t="s">
        <v>32</v>
      </c>
    </row>
    <row r="166" spans="1:16" x14ac:dyDescent="0.3">
      <c r="A166" s="1" t="s">
        <v>958</v>
      </c>
      <c r="B166" s="2">
        <v>42300</v>
      </c>
      <c r="C166">
        <v>2015</v>
      </c>
      <c r="D166" s="1" t="s">
        <v>262</v>
      </c>
      <c r="E166" s="1" t="s">
        <v>959</v>
      </c>
      <c r="F166" s="1" t="s">
        <v>19</v>
      </c>
      <c r="G166" s="1" t="s">
        <v>960</v>
      </c>
      <c r="H166" s="1" t="s">
        <v>909</v>
      </c>
      <c r="I166" s="1" t="s">
        <v>961</v>
      </c>
      <c r="J166" s="1" t="s">
        <v>962</v>
      </c>
      <c r="K166" s="1" t="s">
        <v>963</v>
      </c>
      <c r="L166">
        <v>5000000</v>
      </c>
      <c r="M166">
        <v>2300000</v>
      </c>
      <c r="N166">
        <v>-2700000</v>
      </c>
      <c r="O166">
        <v>-54</v>
      </c>
      <c r="P166" t="s">
        <v>72</v>
      </c>
    </row>
    <row r="167" spans="1:16" x14ac:dyDescent="0.3">
      <c r="A167" s="1" t="s">
        <v>964</v>
      </c>
      <c r="B167" s="2">
        <v>41795</v>
      </c>
      <c r="C167">
        <v>2014</v>
      </c>
      <c r="D167" s="1" t="s">
        <v>74</v>
      </c>
      <c r="E167" s="1" t="s">
        <v>187</v>
      </c>
      <c r="F167" s="1" t="s">
        <v>19</v>
      </c>
      <c r="G167" s="1" t="s">
        <v>965</v>
      </c>
      <c r="H167" s="1" t="s">
        <v>966</v>
      </c>
      <c r="I167" s="1" t="s">
        <v>967</v>
      </c>
      <c r="J167" s="1" t="s">
        <v>968</v>
      </c>
      <c r="K167" s="1" t="s">
        <v>605</v>
      </c>
      <c r="L167">
        <v>58600000</v>
      </c>
      <c r="M167">
        <v>67700000</v>
      </c>
      <c r="N167">
        <v>9100000</v>
      </c>
      <c r="O167">
        <v>15.53</v>
      </c>
      <c r="P167" t="s">
        <v>32</v>
      </c>
    </row>
    <row r="168" spans="1:16" x14ac:dyDescent="0.3">
      <c r="A168" s="1" t="s">
        <v>969</v>
      </c>
      <c r="B168" s="2">
        <v>41502</v>
      </c>
      <c r="C168">
        <v>2013</v>
      </c>
      <c r="D168" s="1" t="s">
        <v>59</v>
      </c>
      <c r="E168" s="1" t="s">
        <v>970</v>
      </c>
      <c r="F168" s="1" t="s">
        <v>19</v>
      </c>
      <c r="G168" s="1" t="s">
        <v>971</v>
      </c>
      <c r="H168" s="1" t="s">
        <v>908</v>
      </c>
      <c r="I168" s="1" t="s">
        <v>972</v>
      </c>
      <c r="J168" s="1" t="s">
        <v>973</v>
      </c>
      <c r="K168" s="1" t="s">
        <v>974</v>
      </c>
      <c r="L168">
        <v>12000000</v>
      </c>
      <c r="M168">
        <v>35900000</v>
      </c>
      <c r="N168">
        <v>23900000</v>
      </c>
      <c r="O168">
        <v>199.17</v>
      </c>
      <c r="P168" t="s">
        <v>40</v>
      </c>
    </row>
    <row r="169" spans="1:16" x14ac:dyDescent="0.3">
      <c r="A169" s="1" t="s">
        <v>975</v>
      </c>
      <c r="B169" s="2">
        <v>41925</v>
      </c>
      <c r="C169">
        <v>2014</v>
      </c>
      <c r="D169" s="1" t="s">
        <v>25</v>
      </c>
      <c r="E169" s="1" t="s">
        <v>976</v>
      </c>
      <c r="F169" s="1" t="s">
        <v>977</v>
      </c>
      <c r="G169" s="1" t="s">
        <v>978</v>
      </c>
      <c r="H169" s="1" t="s">
        <v>979</v>
      </c>
      <c r="I169" s="1" t="s">
        <v>115</v>
      </c>
      <c r="J169" s="1" t="s">
        <v>19</v>
      </c>
      <c r="K169" s="1" t="s">
        <v>19</v>
      </c>
      <c r="L169">
        <v>20000000</v>
      </c>
      <c r="M169">
        <v>86000000</v>
      </c>
      <c r="N169">
        <v>66000000</v>
      </c>
      <c r="O169">
        <v>330</v>
      </c>
      <c r="P169" t="s">
        <v>23</v>
      </c>
    </row>
    <row r="170" spans="1:16" x14ac:dyDescent="0.3">
      <c r="A170" s="1" t="s">
        <v>980</v>
      </c>
      <c r="B170" s="2">
        <v>40949</v>
      </c>
      <c r="C170">
        <v>2012</v>
      </c>
      <c r="D170" s="1" t="s">
        <v>132</v>
      </c>
      <c r="E170" s="1" t="s">
        <v>981</v>
      </c>
      <c r="F170" s="1" t="s">
        <v>19</v>
      </c>
      <c r="G170" s="1" t="s">
        <v>393</v>
      </c>
      <c r="H170" s="1" t="s">
        <v>914</v>
      </c>
      <c r="I170" s="1" t="s">
        <v>640</v>
      </c>
      <c r="J170" s="1" t="s">
        <v>982</v>
      </c>
      <c r="K170" s="1" t="s">
        <v>983</v>
      </c>
      <c r="L170">
        <v>79000000</v>
      </c>
      <c r="M170">
        <v>335300000</v>
      </c>
      <c r="N170">
        <v>256300000</v>
      </c>
      <c r="O170">
        <v>324.43</v>
      </c>
      <c r="P170" t="s">
        <v>23</v>
      </c>
    </row>
    <row r="171" spans="1:16" x14ac:dyDescent="0.3">
      <c r="A171" s="1" t="s">
        <v>984</v>
      </c>
      <c r="B171" s="2">
        <v>42363</v>
      </c>
      <c r="C171">
        <v>2015</v>
      </c>
      <c r="D171" s="1" t="s">
        <v>42</v>
      </c>
      <c r="E171" s="1" t="s">
        <v>985</v>
      </c>
      <c r="F171" s="1" t="s">
        <v>19</v>
      </c>
      <c r="G171" s="1" t="s">
        <v>986</v>
      </c>
      <c r="H171" s="1" t="s">
        <v>802</v>
      </c>
      <c r="I171" s="1" t="s">
        <v>168</v>
      </c>
      <c r="J171" s="1" t="s">
        <v>516</v>
      </c>
      <c r="K171" s="1" t="s">
        <v>19</v>
      </c>
      <c r="L171">
        <v>60000000</v>
      </c>
      <c r="M171">
        <v>101100000</v>
      </c>
      <c r="N171">
        <v>41100000</v>
      </c>
      <c r="O171">
        <v>68.5</v>
      </c>
      <c r="P171" t="s">
        <v>32</v>
      </c>
    </row>
    <row r="172" spans="1:16" x14ac:dyDescent="0.3">
      <c r="A172" s="1" t="s">
        <v>987</v>
      </c>
      <c r="B172" s="2">
        <v>42489</v>
      </c>
      <c r="C172">
        <v>2016</v>
      </c>
      <c r="D172" s="1" t="s">
        <v>42</v>
      </c>
      <c r="E172" s="1" t="s">
        <v>988</v>
      </c>
      <c r="F172" s="1" t="s">
        <v>19</v>
      </c>
      <c r="G172" s="1" t="s">
        <v>989</v>
      </c>
      <c r="H172" s="1" t="s">
        <v>990</v>
      </c>
      <c r="I172" s="1" t="s">
        <v>991</v>
      </c>
      <c r="J172" s="1" t="s">
        <v>992</v>
      </c>
      <c r="K172" s="1" t="s">
        <v>993</v>
      </c>
      <c r="L172">
        <v>15000000</v>
      </c>
      <c r="M172">
        <v>20700000</v>
      </c>
      <c r="N172">
        <v>5700000</v>
      </c>
      <c r="O172">
        <v>38</v>
      </c>
      <c r="P172" t="s">
        <v>32</v>
      </c>
    </row>
    <row r="173" spans="1:16" x14ac:dyDescent="0.3">
      <c r="A173" s="1" t="s">
        <v>994</v>
      </c>
      <c r="B173" s="2">
        <v>41922</v>
      </c>
      <c r="C173">
        <v>2014</v>
      </c>
      <c r="D173" s="1" t="s">
        <v>125</v>
      </c>
      <c r="E173" s="1" t="s">
        <v>995</v>
      </c>
      <c r="F173" s="1" t="s">
        <v>19</v>
      </c>
      <c r="G173" s="1" t="s">
        <v>808</v>
      </c>
      <c r="H173" s="1" t="s">
        <v>996</v>
      </c>
      <c r="I173" s="1" t="s">
        <v>20</v>
      </c>
      <c r="J173" s="1" t="s">
        <v>997</v>
      </c>
      <c r="K173" s="1" t="s">
        <v>998</v>
      </c>
      <c r="L173">
        <v>5000000</v>
      </c>
      <c r="M173">
        <v>2500000</v>
      </c>
      <c r="N173">
        <v>-2500000</v>
      </c>
      <c r="O173">
        <v>-50</v>
      </c>
      <c r="P173" t="s">
        <v>72</v>
      </c>
    </row>
    <row r="174" spans="1:16" x14ac:dyDescent="0.3">
      <c r="A174" s="1" t="s">
        <v>999</v>
      </c>
      <c r="B174" s="2">
        <v>41243</v>
      </c>
      <c r="C174">
        <v>2012</v>
      </c>
      <c r="D174" s="1" t="s">
        <v>125</v>
      </c>
      <c r="E174" s="1" t="s">
        <v>1000</v>
      </c>
      <c r="F174" s="1" t="s">
        <v>19</v>
      </c>
      <c r="G174" s="1" t="s">
        <v>369</v>
      </c>
      <c r="H174" s="1" t="s">
        <v>1001</v>
      </c>
      <c r="I174" s="1" t="s">
        <v>1002</v>
      </c>
      <c r="J174" s="1" t="s">
        <v>1003</v>
      </c>
      <c r="K174" s="1" t="s">
        <v>998</v>
      </c>
      <c r="L174">
        <v>15000000</v>
      </c>
      <c r="M174">
        <v>37900000</v>
      </c>
      <c r="N174">
        <v>22900000</v>
      </c>
      <c r="O174">
        <v>152.66999999999999</v>
      </c>
      <c r="P174" t="s">
        <v>40</v>
      </c>
    </row>
    <row r="175" spans="1:16" x14ac:dyDescent="0.3">
      <c r="A175" s="1" t="s">
        <v>1004</v>
      </c>
      <c r="B175" s="2">
        <v>41986</v>
      </c>
      <c r="C175">
        <v>2014</v>
      </c>
      <c r="D175" s="1" t="s">
        <v>25</v>
      </c>
      <c r="E175" s="1" t="s">
        <v>1005</v>
      </c>
      <c r="F175" s="1" t="s">
        <v>19</v>
      </c>
      <c r="G175" s="1" t="s">
        <v>290</v>
      </c>
      <c r="H175" s="1" t="s">
        <v>604</v>
      </c>
      <c r="I175" s="1" t="s">
        <v>552</v>
      </c>
      <c r="J175" s="1" t="s">
        <v>289</v>
      </c>
      <c r="K175" s="1" t="s">
        <v>914</v>
      </c>
      <c r="L175">
        <v>94000000</v>
      </c>
      <c r="M175">
        <v>414400000</v>
      </c>
      <c r="N175">
        <v>320400000</v>
      </c>
      <c r="O175">
        <v>340.85</v>
      </c>
      <c r="P175" t="s">
        <v>23</v>
      </c>
    </row>
    <row r="176" spans="1:16" x14ac:dyDescent="0.3">
      <c r="A176" s="1" t="s">
        <v>1006</v>
      </c>
      <c r="B176" s="2">
        <v>42342</v>
      </c>
      <c r="C176">
        <v>2015</v>
      </c>
      <c r="D176" s="1" t="s">
        <v>138</v>
      </c>
      <c r="E176" s="1" t="s">
        <v>1007</v>
      </c>
      <c r="F176" s="1" t="s">
        <v>19</v>
      </c>
      <c r="G176" s="1" t="s">
        <v>1008</v>
      </c>
      <c r="H176" s="1" t="s">
        <v>1009</v>
      </c>
      <c r="I176" s="1" t="s">
        <v>697</v>
      </c>
      <c r="J176" s="1" t="s">
        <v>19</v>
      </c>
      <c r="K176" s="1" t="s">
        <v>19</v>
      </c>
      <c r="L176">
        <v>15000000</v>
      </c>
      <c r="M176">
        <v>61500000</v>
      </c>
      <c r="N176">
        <v>46500000</v>
      </c>
      <c r="O176">
        <v>310</v>
      </c>
      <c r="P176" t="s">
        <v>23</v>
      </c>
    </row>
    <row r="177" spans="1:16" x14ac:dyDescent="0.3">
      <c r="A177" s="1" t="s">
        <v>1010</v>
      </c>
      <c r="B177" s="2">
        <v>42601</v>
      </c>
      <c r="C177">
        <v>2016</v>
      </c>
      <c r="D177" s="1" t="s">
        <v>279</v>
      </c>
      <c r="E177" s="1" t="s">
        <v>1011</v>
      </c>
      <c r="F177" s="1" t="s">
        <v>19</v>
      </c>
      <c r="G177" s="1" t="s">
        <v>1012</v>
      </c>
      <c r="H177" s="1" t="s">
        <v>693</v>
      </c>
      <c r="I177" s="1" t="s">
        <v>154</v>
      </c>
      <c r="J177" s="1" t="s">
        <v>1013</v>
      </c>
      <c r="K177" s="1" t="s">
        <v>799</v>
      </c>
      <c r="L177">
        <v>60000000</v>
      </c>
      <c r="M177">
        <v>27600000</v>
      </c>
      <c r="N177">
        <v>-32400000</v>
      </c>
      <c r="O177">
        <v>-54</v>
      </c>
      <c r="P177" t="s">
        <v>72</v>
      </c>
    </row>
    <row r="178" spans="1:16" x14ac:dyDescent="0.3">
      <c r="A178" s="1" t="s">
        <v>1014</v>
      </c>
      <c r="B178" s="2">
        <v>42392</v>
      </c>
      <c r="C178">
        <v>2016</v>
      </c>
      <c r="D178" s="1" t="s">
        <v>25</v>
      </c>
      <c r="E178" s="1" t="s">
        <v>1015</v>
      </c>
      <c r="F178" s="1" t="s">
        <v>1016</v>
      </c>
      <c r="G178" s="1" t="s">
        <v>786</v>
      </c>
      <c r="H178" s="1" t="s">
        <v>368</v>
      </c>
      <c r="I178" s="1" t="s">
        <v>1017</v>
      </c>
      <c r="J178" s="1" t="s">
        <v>584</v>
      </c>
      <c r="K178" s="1" t="s">
        <v>1018</v>
      </c>
      <c r="L178">
        <v>145000000</v>
      </c>
      <c r="M178">
        <v>519900000</v>
      </c>
      <c r="N178">
        <v>374900000</v>
      </c>
      <c r="O178">
        <v>258.55</v>
      </c>
      <c r="P178" t="s">
        <v>40</v>
      </c>
    </row>
    <row r="179" spans="1:16" x14ac:dyDescent="0.3">
      <c r="A179" s="1" t="s">
        <v>1019</v>
      </c>
      <c r="B179" s="2">
        <v>42396</v>
      </c>
      <c r="C179">
        <v>2016</v>
      </c>
      <c r="D179" s="1" t="s">
        <v>145</v>
      </c>
      <c r="E179" s="1" t="s">
        <v>1020</v>
      </c>
      <c r="F179" s="1" t="s">
        <v>19</v>
      </c>
      <c r="G179" s="1" t="s">
        <v>1021</v>
      </c>
      <c r="H179" s="1" t="s">
        <v>1022</v>
      </c>
      <c r="I179" s="1" t="s">
        <v>1023</v>
      </c>
      <c r="J179" s="1" t="s">
        <v>1024</v>
      </c>
      <c r="K179" s="1" t="s">
        <v>1025</v>
      </c>
      <c r="L179">
        <v>2400000</v>
      </c>
      <c r="M179">
        <v>1600000</v>
      </c>
      <c r="N179">
        <v>-800000</v>
      </c>
      <c r="O179">
        <v>-33.33</v>
      </c>
      <c r="P179" t="s">
        <v>72</v>
      </c>
    </row>
    <row r="180" spans="1:16" x14ac:dyDescent="0.3">
      <c r="A180" s="1" t="s">
        <v>1026</v>
      </c>
      <c r="B180" s="2">
        <v>41915</v>
      </c>
      <c r="C180">
        <v>2014</v>
      </c>
      <c r="D180" s="1" t="s">
        <v>751</v>
      </c>
      <c r="E180" s="1" t="s">
        <v>1027</v>
      </c>
      <c r="F180" s="1" t="s">
        <v>19</v>
      </c>
      <c r="G180" s="1" t="s">
        <v>740</v>
      </c>
      <c r="H180" s="1" t="s">
        <v>1028</v>
      </c>
      <c r="I180" s="1" t="s">
        <v>1029</v>
      </c>
      <c r="J180" s="1" t="s">
        <v>1030</v>
      </c>
      <c r="K180" s="1" t="s">
        <v>1031</v>
      </c>
      <c r="L180">
        <v>16000000</v>
      </c>
      <c r="M180">
        <v>27600000</v>
      </c>
      <c r="N180">
        <v>11600000</v>
      </c>
      <c r="O180">
        <v>72.5</v>
      </c>
      <c r="P180" t="s">
        <v>32</v>
      </c>
    </row>
    <row r="181" spans="1:16" x14ac:dyDescent="0.3">
      <c r="A181" s="1" t="s">
        <v>1032</v>
      </c>
      <c r="B181" s="2">
        <v>41268</v>
      </c>
      <c r="C181">
        <v>2012</v>
      </c>
      <c r="D181" s="1" t="s">
        <v>262</v>
      </c>
      <c r="E181" s="1" t="s">
        <v>1033</v>
      </c>
      <c r="F181" s="1" t="s">
        <v>19</v>
      </c>
      <c r="G181" s="1" t="s">
        <v>406</v>
      </c>
      <c r="H181" s="1" t="s">
        <v>1034</v>
      </c>
      <c r="I181" s="1" t="s">
        <v>1035</v>
      </c>
      <c r="J181" s="1" t="s">
        <v>1036</v>
      </c>
      <c r="K181" s="1" t="s">
        <v>913</v>
      </c>
      <c r="L181">
        <v>61000000</v>
      </c>
      <c r="M181">
        <v>441800000</v>
      </c>
      <c r="N181">
        <v>380800000</v>
      </c>
      <c r="O181">
        <v>624.26</v>
      </c>
      <c r="P181" t="s">
        <v>23</v>
      </c>
    </row>
    <row r="182" spans="1:16" x14ac:dyDescent="0.3">
      <c r="A182" s="1" t="s">
        <v>1037</v>
      </c>
      <c r="B182" s="2">
        <v>41864</v>
      </c>
      <c r="C182">
        <v>2014</v>
      </c>
      <c r="D182" s="1" t="s">
        <v>25</v>
      </c>
      <c r="E182" s="1" t="s">
        <v>1038</v>
      </c>
      <c r="F182" s="1" t="s">
        <v>19</v>
      </c>
      <c r="G182" s="1" t="s">
        <v>1039</v>
      </c>
      <c r="H182" s="1" t="s">
        <v>1040</v>
      </c>
      <c r="I182" s="1" t="s">
        <v>560</v>
      </c>
      <c r="J182" s="1" t="s">
        <v>19</v>
      </c>
      <c r="K182" s="1" t="s">
        <v>19</v>
      </c>
      <c r="L182">
        <v>17000000</v>
      </c>
      <c r="M182">
        <v>138200000</v>
      </c>
      <c r="N182">
        <v>121200000</v>
      </c>
      <c r="O182">
        <v>712.94</v>
      </c>
      <c r="P182" t="s">
        <v>23</v>
      </c>
    </row>
    <row r="183" spans="1:16" x14ac:dyDescent="0.3">
      <c r="A183" s="1" t="s">
        <v>1041</v>
      </c>
      <c r="B183" s="2">
        <v>41234</v>
      </c>
      <c r="C183">
        <v>2012</v>
      </c>
      <c r="D183" s="1" t="s">
        <v>74</v>
      </c>
      <c r="E183" s="1" t="s">
        <v>1042</v>
      </c>
      <c r="F183" s="1" t="s">
        <v>19</v>
      </c>
      <c r="G183" s="1" t="s">
        <v>1043</v>
      </c>
      <c r="H183" s="1" t="s">
        <v>1044</v>
      </c>
      <c r="I183" s="1" t="s">
        <v>1045</v>
      </c>
      <c r="J183" s="1" t="s">
        <v>1046</v>
      </c>
      <c r="K183" s="1" t="s">
        <v>19</v>
      </c>
      <c r="L183">
        <v>120000000</v>
      </c>
      <c r="M183">
        <v>609000000</v>
      </c>
      <c r="N183">
        <v>489000000</v>
      </c>
      <c r="O183">
        <v>407.5</v>
      </c>
      <c r="P183" t="s">
        <v>23</v>
      </c>
    </row>
    <row r="184" spans="1:16" x14ac:dyDescent="0.3">
      <c r="A184" s="1" t="s">
        <v>1047</v>
      </c>
      <c r="B184" s="2">
        <v>42573</v>
      </c>
      <c r="C184">
        <v>2016</v>
      </c>
      <c r="D184" s="1" t="s">
        <v>138</v>
      </c>
      <c r="E184" s="1" t="s">
        <v>1048</v>
      </c>
      <c r="F184" s="1" t="s">
        <v>19</v>
      </c>
      <c r="G184" s="1" t="s">
        <v>1049</v>
      </c>
      <c r="H184" s="1" t="s">
        <v>1050</v>
      </c>
      <c r="I184" s="1" t="s">
        <v>1051</v>
      </c>
      <c r="J184" s="1" t="s">
        <v>19</v>
      </c>
      <c r="K184" s="1" t="s">
        <v>19</v>
      </c>
      <c r="L184">
        <v>4900000</v>
      </c>
      <c r="M184">
        <v>125900000</v>
      </c>
      <c r="N184">
        <v>121000000</v>
      </c>
      <c r="O184">
        <v>2469.39</v>
      </c>
      <c r="P184" t="s">
        <v>23</v>
      </c>
    </row>
    <row r="185" spans="1:16" x14ac:dyDescent="0.3">
      <c r="A185" s="1" t="s">
        <v>1052</v>
      </c>
      <c r="B185" s="2">
        <v>41222</v>
      </c>
      <c r="C185">
        <v>2012</v>
      </c>
      <c r="D185" s="1" t="s">
        <v>74</v>
      </c>
      <c r="E185" s="1" t="s">
        <v>343</v>
      </c>
      <c r="F185" s="1" t="s">
        <v>19</v>
      </c>
      <c r="G185" s="1" t="s">
        <v>1053</v>
      </c>
      <c r="H185" s="1" t="s">
        <v>1054</v>
      </c>
      <c r="I185" s="1" t="s">
        <v>1055</v>
      </c>
      <c r="J185" s="1" t="s">
        <v>1056</v>
      </c>
      <c r="K185" s="1" t="s">
        <v>1057</v>
      </c>
      <c r="L185">
        <v>65000000</v>
      </c>
      <c r="M185">
        <v>275300000</v>
      </c>
      <c r="N185">
        <v>210300000</v>
      </c>
      <c r="O185">
        <v>323.54000000000002</v>
      </c>
      <c r="P185" t="s">
        <v>23</v>
      </c>
    </row>
    <row r="186" spans="1:16" x14ac:dyDescent="0.3">
      <c r="A186" s="1" t="s">
        <v>1058</v>
      </c>
      <c r="B186" s="2">
        <v>42118</v>
      </c>
      <c r="C186">
        <v>2015</v>
      </c>
      <c r="D186" s="1" t="s">
        <v>74</v>
      </c>
      <c r="E186" s="1" t="s">
        <v>1059</v>
      </c>
      <c r="F186" s="1" t="s">
        <v>19</v>
      </c>
      <c r="G186" s="1" t="s">
        <v>1060</v>
      </c>
      <c r="H186" s="1" t="s">
        <v>1061</v>
      </c>
      <c r="I186" s="1" t="s">
        <v>791</v>
      </c>
      <c r="J186" s="1" t="s">
        <v>1062</v>
      </c>
      <c r="K186" s="1" t="s">
        <v>1063</v>
      </c>
      <c r="L186">
        <v>20000000</v>
      </c>
      <c r="M186">
        <v>17500000</v>
      </c>
      <c r="N186">
        <v>-2500000</v>
      </c>
      <c r="O186">
        <v>-12.5</v>
      </c>
      <c r="P186" t="s">
        <v>72</v>
      </c>
    </row>
    <row r="187" spans="1:16" x14ac:dyDescent="0.3">
      <c r="A187" s="1" t="s">
        <v>1064</v>
      </c>
      <c r="B187" s="2">
        <v>41012</v>
      </c>
      <c r="C187">
        <v>2012</v>
      </c>
      <c r="D187" s="1" t="s">
        <v>25</v>
      </c>
      <c r="E187" s="1" t="s">
        <v>1065</v>
      </c>
      <c r="F187" s="1" t="s">
        <v>1066</v>
      </c>
      <c r="G187" s="1" t="s">
        <v>1067</v>
      </c>
      <c r="H187" s="1" t="s">
        <v>1068</v>
      </c>
      <c r="I187" s="1" t="s">
        <v>812</v>
      </c>
      <c r="J187" s="1" t="s">
        <v>1069</v>
      </c>
      <c r="K187" s="1" t="s">
        <v>1070</v>
      </c>
      <c r="L187">
        <v>20000000</v>
      </c>
      <c r="M187">
        <v>32200000</v>
      </c>
      <c r="N187">
        <v>12200000</v>
      </c>
      <c r="O187">
        <v>61</v>
      </c>
      <c r="P187" t="s">
        <v>32</v>
      </c>
    </row>
    <row r="188" spans="1:16" x14ac:dyDescent="0.3">
      <c r="A188" s="1" t="s">
        <v>1071</v>
      </c>
      <c r="B188" s="2">
        <v>42433</v>
      </c>
      <c r="C188">
        <v>2016</v>
      </c>
      <c r="D188" s="1" t="s">
        <v>25</v>
      </c>
      <c r="E188" s="1" t="s">
        <v>1072</v>
      </c>
      <c r="F188" s="1" t="s">
        <v>19</v>
      </c>
      <c r="G188" s="1" t="s">
        <v>410</v>
      </c>
      <c r="H188" s="1" t="s">
        <v>1073</v>
      </c>
      <c r="I188" s="1" t="s">
        <v>294</v>
      </c>
      <c r="J188" s="1" t="s">
        <v>1074</v>
      </c>
      <c r="K188" s="1" t="s">
        <v>1075</v>
      </c>
      <c r="L188">
        <v>60000000</v>
      </c>
      <c r="M188">
        <v>195700000</v>
      </c>
      <c r="N188">
        <v>135700000</v>
      </c>
      <c r="O188">
        <v>226.17</v>
      </c>
      <c r="P188" t="s">
        <v>40</v>
      </c>
    </row>
    <row r="189" spans="1:16" x14ac:dyDescent="0.3">
      <c r="A189" s="1" t="s">
        <v>1076</v>
      </c>
      <c r="B189" s="2">
        <v>41180</v>
      </c>
      <c r="C189">
        <v>2012</v>
      </c>
      <c r="D189" s="1" t="s">
        <v>25</v>
      </c>
      <c r="E189" s="1" t="s">
        <v>1077</v>
      </c>
      <c r="F189" s="1" t="s">
        <v>19</v>
      </c>
      <c r="G189" s="1" t="s">
        <v>1057</v>
      </c>
      <c r="H189" s="1" t="s">
        <v>82</v>
      </c>
      <c r="I189" s="1" t="s">
        <v>609</v>
      </c>
      <c r="J189" s="1" t="s">
        <v>1078</v>
      </c>
      <c r="K189" s="1" t="s">
        <v>1079</v>
      </c>
      <c r="L189">
        <v>30000000</v>
      </c>
      <c r="M189">
        <v>176500000</v>
      </c>
      <c r="N189">
        <v>146500000</v>
      </c>
      <c r="O189">
        <v>488.33</v>
      </c>
      <c r="P189" t="s">
        <v>23</v>
      </c>
    </row>
    <row r="190" spans="1:16" x14ac:dyDescent="0.3">
      <c r="A190" s="1" t="s">
        <v>1080</v>
      </c>
      <c r="B190" s="2">
        <v>42312</v>
      </c>
      <c r="C190">
        <v>2015</v>
      </c>
      <c r="D190" s="1" t="s">
        <v>166</v>
      </c>
      <c r="E190" s="1" t="s">
        <v>1081</v>
      </c>
      <c r="F190" s="1" t="s">
        <v>19</v>
      </c>
      <c r="G190" s="1" t="s">
        <v>21</v>
      </c>
      <c r="H190" s="1" t="s">
        <v>1082</v>
      </c>
      <c r="I190" s="1" t="s">
        <v>641</v>
      </c>
      <c r="J190" s="1" t="s">
        <v>226</v>
      </c>
      <c r="K190" s="1" t="s">
        <v>1083</v>
      </c>
      <c r="L190">
        <v>24000000</v>
      </c>
      <c r="M190">
        <v>41100000</v>
      </c>
      <c r="N190">
        <v>17100000</v>
      </c>
      <c r="O190">
        <v>71.25</v>
      </c>
      <c r="P190" t="s">
        <v>32</v>
      </c>
    </row>
    <row r="191" spans="1:16" x14ac:dyDescent="0.3">
      <c r="A191" s="1" t="s">
        <v>1084</v>
      </c>
      <c r="B191" s="2">
        <v>41845</v>
      </c>
      <c r="C191">
        <v>2014</v>
      </c>
      <c r="D191" s="1" t="s">
        <v>145</v>
      </c>
      <c r="E191" s="1" t="s">
        <v>1085</v>
      </c>
      <c r="F191" s="1" t="s">
        <v>19</v>
      </c>
      <c r="G191" s="1" t="s">
        <v>377</v>
      </c>
      <c r="H191" s="1" t="s">
        <v>294</v>
      </c>
      <c r="I191" s="1" t="s">
        <v>1086</v>
      </c>
      <c r="J191" s="1" t="s">
        <v>19</v>
      </c>
      <c r="K191" s="1" t="s">
        <v>19</v>
      </c>
      <c r="L191">
        <v>40000000</v>
      </c>
      <c r="M191">
        <v>463400000</v>
      </c>
      <c r="N191">
        <v>423400000</v>
      </c>
      <c r="O191">
        <v>1058.5</v>
      </c>
      <c r="P191" t="s">
        <v>23</v>
      </c>
    </row>
    <row r="192" spans="1:16" x14ac:dyDescent="0.3">
      <c r="A192" s="1" t="s">
        <v>1087</v>
      </c>
      <c r="B192" s="2">
        <v>42131</v>
      </c>
      <c r="C192">
        <v>2015</v>
      </c>
      <c r="D192" s="1" t="s">
        <v>25</v>
      </c>
      <c r="E192" s="1" t="s">
        <v>1088</v>
      </c>
      <c r="F192" s="1" t="s">
        <v>19</v>
      </c>
      <c r="G192" s="1" t="s">
        <v>427</v>
      </c>
      <c r="H192" s="1" t="s">
        <v>1013</v>
      </c>
      <c r="I192" s="1" t="s">
        <v>1089</v>
      </c>
      <c r="J192" s="1" t="s">
        <v>1090</v>
      </c>
      <c r="K192" s="1" t="s">
        <v>1091</v>
      </c>
      <c r="L192">
        <v>150000000</v>
      </c>
      <c r="M192">
        <v>378400000</v>
      </c>
      <c r="N192">
        <v>228400000</v>
      </c>
      <c r="O192">
        <v>152.27000000000001</v>
      </c>
      <c r="P192" t="s">
        <v>40</v>
      </c>
    </row>
    <row r="193" spans="1:16" x14ac:dyDescent="0.3">
      <c r="A193" s="1" t="s">
        <v>1092</v>
      </c>
      <c r="B193" s="2">
        <v>41068</v>
      </c>
      <c r="C193">
        <v>2012</v>
      </c>
      <c r="D193" s="1" t="s">
        <v>42</v>
      </c>
      <c r="E193" s="1" t="s">
        <v>1093</v>
      </c>
      <c r="F193" s="1" t="s">
        <v>19</v>
      </c>
      <c r="G193" s="1" t="s">
        <v>1094</v>
      </c>
      <c r="H193" s="1" t="s">
        <v>792</v>
      </c>
      <c r="I193" s="1" t="s">
        <v>1095</v>
      </c>
      <c r="J193" s="1" t="s">
        <v>242</v>
      </c>
      <c r="K193" s="1" t="s">
        <v>1096</v>
      </c>
      <c r="L193">
        <v>145000000</v>
      </c>
      <c r="M193">
        <v>746900000</v>
      </c>
      <c r="N193">
        <v>601900000</v>
      </c>
      <c r="O193">
        <v>415.1</v>
      </c>
      <c r="P193" t="s">
        <v>23</v>
      </c>
    </row>
    <row r="194" spans="1:16" x14ac:dyDescent="0.3">
      <c r="A194" s="1" t="s">
        <v>1097</v>
      </c>
      <c r="B194" s="2">
        <v>41845</v>
      </c>
      <c r="C194">
        <v>2014</v>
      </c>
      <c r="D194" s="1" t="s">
        <v>42</v>
      </c>
      <c r="E194" s="1" t="s">
        <v>328</v>
      </c>
      <c r="F194" s="1" t="s">
        <v>19</v>
      </c>
      <c r="G194" s="1" t="s">
        <v>169</v>
      </c>
      <c r="H194" s="1" t="s">
        <v>290</v>
      </c>
      <c r="I194" s="1" t="s">
        <v>1098</v>
      </c>
      <c r="J194" s="1" t="s">
        <v>1099</v>
      </c>
      <c r="K194" s="1" t="s">
        <v>1100</v>
      </c>
      <c r="L194">
        <v>16800000</v>
      </c>
      <c r="M194">
        <v>51000000</v>
      </c>
      <c r="N194">
        <v>34200000</v>
      </c>
      <c r="O194">
        <v>203.57</v>
      </c>
      <c r="P194" t="s">
        <v>40</v>
      </c>
    </row>
    <row r="195" spans="1:16" x14ac:dyDescent="0.3">
      <c r="A195" s="1" t="s">
        <v>1101</v>
      </c>
      <c r="B195" s="2">
        <v>41292</v>
      </c>
      <c r="C195">
        <v>2013</v>
      </c>
      <c r="D195" s="1" t="s">
        <v>138</v>
      </c>
      <c r="E195" s="1" t="s">
        <v>1102</v>
      </c>
      <c r="F195" s="1" t="s">
        <v>19</v>
      </c>
      <c r="G195" s="1" t="s">
        <v>106</v>
      </c>
      <c r="H195" s="1" t="s">
        <v>767</v>
      </c>
      <c r="I195" s="1" t="s">
        <v>1103</v>
      </c>
      <c r="J195" s="1" t="s">
        <v>1104</v>
      </c>
      <c r="K195" s="1" t="s">
        <v>19</v>
      </c>
      <c r="L195">
        <v>15000000</v>
      </c>
      <c r="M195">
        <v>146400000</v>
      </c>
      <c r="N195">
        <v>131400000</v>
      </c>
      <c r="O195">
        <v>876</v>
      </c>
      <c r="P195" t="s">
        <v>23</v>
      </c>
    </row>
    <row r="196" spans="1:16" x14ac:dyDescent="0.3">
      <c r="A196" s="1" t="s">
        <v>1105</v>
      </c>
      <c r="B196" s="2">
        <v>41439</v>
      </c>
      <c r="C196">
        <v>2013</v>
      </c>
      <c r="D196" s="1" t="s">
        <v>25</v>
      </c>
      <c r="E196" s="1" t="s">
        <v>250</v>
      </c>
      <c r="F196" s="1" t="s">
        <v>19</v>
      </c>
      <c r="G196" s="1" t="s">
        <v>251</v>
      </c>
      <c r="H196" s="1" t="s">
        <v>252</v>
      </c>
      <c r="I196" s="1" t="s">
        <v>1106</v>
      </c>
      <c r="J196" s="1" t="s">
        <v>463</v>
      </c>
      <c r="K196" s="1" t="s">
        <v>253</v>
      </c>
      <c r="L196">
        <v>225000000</v>
      </c>
      <c r="M196">
        <v>668000000</v>
      </c>
      <c r="N196">
        <v>443000000</v>
      </c>
      <c r="O196">
        <v>196.89</v>
      </c>
      <c r="P196" t="s">
        <v>40</v>
      </c>
    </row>
    <row r="197" spans="1:16" x14ac:dyDescent="0.3">
      <c r="A197" s="1" t="s">
        <v>1107</v>
      </c>
      <c r="B197" s="2">
        <v>40935</v>
      </c>
      <c r="C197">
        <v>2012</v>
      </c>
      <c r="D197" s="1" t="s">
        <v>25</v>
      </c>
      <c r="E197" s="1" t="s">
        <v>1108</v>
      </c>
      <c r="F197" s="1" t="s">
        <v>19</v>
      </c>
      <c r="G197" s="1" t="s">
        <v>1109</v>
      </c>
      <c r="H197" s="1" t="s">
        <v>1110</v>
      </c>
      <c r="I197" s="1" t="s">
        <v>1111</v>
      </c>
      <c r="J197" s="1" t="s">
        <v>666</v>
      </c>
      <c r="K197" s="1" t="s">
        <v>1112</v>
      </c>
      <c r="L197">
        <v>42000000</v>
      </c>
      <c r="M197">
        <v>46200000</v>
      </c>
      <c r="N197">
        <v>4200000</v>
      </c>
      <c r="O197">
        <v>10</v>
      </c>
      <c r="P197" t="s">
        <v>32</v>
      </c>
    </row>
    <row r="198" spans="1:16" x14ac:dyDescent="0.3">
      <c r="A198" s="1" t="s">
        <v>1113</v>
      </c>
      <c r="B198" s="2">
        <v>42181</v>
      </c>
      <c r="C198">
        <v>2015</v>
      </c>
      <c r="D198" s="1" t="s">
        <v>132</v>
      </c>
      <c r="E198" s="1" t="s">
        <v>1114</v>
      </c>
      <c r="F198" s="1" t="s">
        <v>19</v>
      </c>
      <c r="G198" s="1" t="s">
        <v>1115</v>
      </c>
      <c r="H198" s="1" t="s">
        <v>818</v>
      </c>
      <c r="I198" s="1" t="s">
        <v>1116</v>
      </c>
      <c r="J198" s="1" t="s">
        <v>19</v>
      </c>
      <c r="K198" s="1" t="s">
        <v>19</v>
      </c>
      <c r="L198">
        <v>20000000</v>
      </c>
      <c r="M198">
        <v>44000000</v>
      </c>
      <c r="N198">
        <v>24000000</v>
      </c>
      <c r="O198">
        <v>120</v>
      </c>
      <c r="P198" t="s">
        <v>40</v>
      </c>
    </row>
    <row r="199" spans="1:16" x14ac:dyDescent="0.3">
      <c r="A199" s="1" t="s">
        <v>1117</v>
      </c>
      <c r="B199" s="2">
        <v>42265</v>
      </c>
      <c r="C199">
        <v>2015</v>
      </c>
      <c r="D199" s="1" t="s">
        <v>145</v>
      </c>
      <c r="E199" s="1" t="s">
        <v>1118</v>
      </c>
      <c r="F199" s="1" t="s">
        <v>19</v>
      </c>
      <c r="G199" s="1" t="s">
        <v>1119</v>
      </c>
      <c r="H199" s="1" t="s">
        <v>1120</v>
      </c>
      <c r="I199" s="1" t="s">
        <v>1121</v>
      </c>
      <c r="J199" s="1" t="s">
        <v>1122</v>
      </c>
      <c r="K199" s="1" t="s">
        <v>1123</v>
      </c>
      <c r="L199">
        <v>61000000</v>
      </c>
      <c r="M199">
        <v>312300000</v>
      </c>
      <c r="N199">
        <v>251300000</v>
      </c>
      <c r="O199">
        <v>411.97</v>
      </c>
      <c r="P199" t="s">
        <v>23</v>
      </c>
    </row>
    <row r="200" spans="1:16" x14ac:dyDescent="0.3">
      <c r="A200" s="1" t="s">
        <v>1124</v>
      </c>
      <c r="B200" s="2">
        <v>42029</v>
      </c>
      <c r="C200">
        <v>2015</v>
      </c>
      <c r="D200" s="1" t="s">
        <v>42</v>
      </c>
      <c r="E200" s="1" t="s">
        <v>1125</v>
      </c>
      <c r="F200" s="1" t="s">
        <v>19</v>
      </c>
      <c r="G200" s="1" t="s">
        <v>704</v>
      </c>
      <c r="H200" s="1" t="s">
        <v>1126</v>
      </c>
      <c r="I200" s="1" t="s">
        <v>1127</v>
      </c>
      <c r="J200" s="1" t="s">
        <v>709</v>
      </c>
      <c r="K200" s="1" t="s">
        <v>1128</v>
      </c>
      <c r="L200">
        <v>8000000</v>
      </c>
      <c r="M200">
        <v>9100000</v>
      </c>
      <c r="N200">
        <v>1100000</v>
      </c>
      <c r="O200">
        <v>13.75</v>
      </c>
      <c r="P200" t="s">
        <v>32</v>
      </c>
    </row>
    <row r="201" spans="1:16" x14ac:dyDescent="0.3">
      <c r="A201" s="1" t="s">
        <v>1129</v>
      </c>
      <c r="B201" s="2">
        <v>42524</v>
      </c>
      <c r="C201">
        <v>2016</v>
      </c>
      <c r="D201" s="1" t="s">
        <v>74</v>
      </c>
      <c r="E201" s="1" t="s">
        <v>1130</v>
      </c>
      <c r="F201" s="1" t="s">
        <v>19</v>
      </c>
      <c r="G201" s="1" t="s">
        <v>1131</v>
      </c>
      <c r="H201" s="1" t="s">
        <v>1132</v>
      </c>
      <c r="I201" s="1" t="s">
        <v>1133</v>
      </c>
      <c r="J201" s="1" t="s">
        <v>1134</v>
      </c>
      <c r="K201" s="1" t="s">
        <v>1135</v>
      </c>
      <c r="L201">
        <v>20000000</v>
      </c>
      <c r="M201">
        <v>196200000</v>
      </c>
      <c r="N201">
        <v>176200000</v>
      </c>
      <c r="O201">
        <v>881</v>
      </c>
      <c r="P201" t="s">
        <v>23</v>
      </c>
    </row>
    <row r="202" spans="1:16" x14ac:dyDescent="0.3">
      <c r="A202" s="1" t="s">
        <v>1136</v>
      </c>
      <c r="B202" s="2">
        <v>42608</v>
      </c>
      <c r="C202">
        <v>2016</v>
      </c>
      <c r="D202" s="1" t="s">
        <v>25</v>
      </c>
      <c r="E202" s="1" t="s">
        <v>1137</v>
      </c>
      <c r="F202" s="1" t="s">
        <v>19</v>
      </c>
      <c r="G202" s="1" t="s">
        <v>1138</v>
      </c>
      <c r="H202" s="1" t="s">
        <v>647</v>
      </c>
      <c r="I202" s="1" t="s">
        <v>464</v>
      </c>
      <c r="J202" s="1" t="s">
        <v>1139</v>
      </c>
      <c r="K202" s="1" t="s">
        <v>19</v>
      </c>
      <c r="L202">
        <v>40000000</v>
      </c>
      <c r="M202">
        <v>7500000</v>
      </c>
      <c r="N202">
        <v>-32500000</v>
      </c>
      <c r="O202">
        <v>-81.25</v>
      </c>
      <c r="P202" t="s">
        <v>72</v>
      </c>
    </row>
    <row r="203" spans="1:16" x14ac:dyDescent="0.3">
      <c r="A203" s="1" t="s">
        <v>1140</v>
      </c>
      <c r="B203" s="2">
        <v>41054</v>
      </c>
      <c r="C203">
        <v>2012</v>
      </c>
      <c r="D203" s="1" t="s">
        <v>42</v>
      </c>
      <c r="E203" s="1" t="s">
        <v>1141</v>
      </c>
      <c r="F203" s="1" t="s">
        <v>19</v>
      </c>
      <c r="G203" s="1" t="s">
        <v>148</v>
      </c>
      <c r="H203" s="1" t="s">
        <v>464</v>
      </c>
      <c r="I203" s="1" t="s">
        <v>718</v>
      </c>
      <c r="J203" s="1" t="s">
        <v>1142</v>
      </c>
      <c r="K203" s="1" t="s">
        <v>136</v>
      </c>
      <c r="L203">
        <v>215000000</v>
      </c>
      <c r="M203">
        <v>624000000</v>
      </c>
      <c r="N203">
        <v>409000000</v>
      </c>
      <c r="O203">
        <v>190.23</v>
      </c>
      <c r="P203" t="s">
        <v>40</v>
      </c>
    </row>
    <row r="204" spans="1:16" x14ac:dyDescent="0.3">
      <c r="A204" s="1" t="s">
        <v>1143</v>
      </c>
      <c r="B204" s="2">
        <v>42412</v>
      </c>
      <c r="C204">
        <v>2016</v>
      </c>
      <c r="D204" s="1" t="s">
        <v>145</v>
      </c>
      <c r="E204" s="1" t="s">
        <v>1144</v>
      </c>
      <c r="F204" s="1" t="s">
        <v>19</v>
      </c>
      <c r="G204" s="1" t="s">
        <v>1106</v>
      </c>
      <c r="H204" s="1" t="s">
        <v>1145</v>
      </c>
      <c r="I204" s="1" t="s">
        <v>688</v>
      </c>
      <c r="J204" s="1" t="s">
        <v>312</v>
      </c>
      <c r="K204" s="1" t="s">
        <v>1146</v>
      </c>
      <c r="L204">
        <v>18000000</v>
      </c>
      <c r="M204">
        <v>6200000</v>
      </c>
      <c r="N204">
        <v>-11800000</v>
      </c>
      <c r="O204">
        <v>-65.56</v>
      </c>
      <c r="P204" t="s">
        <v>72</v>
      </c>
    </row>
    <row r="205" spans="1:16" x14ac:dyDescent="0.3">
      <c r="A205" s="1" t="s">
        <v>1147</v>
      </c>
      <c r="B205" s="2">
        <v>42445</v>
      </c>
      <c r="C205">
        <v>2016</v>
      </c>
      <c r="D205" s="1" t="s">
        <v>74</v>
      </c>
      <c r="E205" s="1" t="s">
        <v>1148</v>
      </c>
      <c r="F205" s="1" t="s">
        <v>19</v>
      </c>
      <c r="G205" s="1" t="s">
        <v>482</v>
      </c>
      <c r="H205" s="1" t="s">
        <v>1149</v>
      </c>
      <c r="I205" s="1" t="s">
        <v>876</v>
      </c>
      <c r="J205" s="1" t="s">
        <v>19</v>
      </c>
      <c r="K205" s="1" t="s">
        <v>19</v>
      </c>
      <c r="L205">
        <v>13000000</v>
      </c>
      <c r="M205">
        <v>73600000</v>
      </c>
      <c r="N205">
        <v>60600000</v>
      </c>
      <c r="O205">
        <v>466.15</v>
      </c>
      <c r="P205" t="s">
        <v>23</v>
      </c>
    </row>
    <row r="206" spans="1:16" x14ac:dyDescent="0.3">
      <c r="A206" s="1" t="s">
        <v>1150</v>
      </c>
      <c r="B206" s="2">
        <v>40998</v>
      </c>
      <c r="C206">
        <v>2012</v>
      </c>
      <c r="D206" s="1" t="s">
        <v>279</v>
      </c>
      <c r="E206" s="1" t="s">
        <v>1151</v>
      </c>
      <c r="F206" s="1" t="s">
        <v>19</v>
      </c>
      <c r="G206" s="1" t="s">
        <v>1152</v>
      </c>
      <c r="H206" s="1" t="s">
        <v>1153</v>
      </c>
      <c r="I206" s="1" t="s">
        <v>1154</v>
      </c>
      <c r="J206" s="1" t="s">
        <v>1155</v>
      </c>
      <c r="K206" s="1" t="s">
        <v>1156</v>
      </c>
      <c r="L206">
        <v>85000000</v>
      </c>
      <c r="M206">
        <v>183000000</v>
      </c>
      <c r="N206">
        <v>98000000</v>
      </c>
      <c r="O206">
        <v>115.29</v>
      </c>
      <c r="P206" t="s">
        <v>40</v>
      </c>
    </row>
    <row r="207" spans="1:16" x14ac:dyDescent="0.3">
      <c r="A207" s="1" t="s">
        <v>1157</v>
      </c>
      <c r="B207" s="2">
        <v>42208</v>
      </c>
      <c r="C207">
        <v>2015</v>
      </c>
      <c r="D207" s="1" t="s">
        <v>25</v>
      </c>
      <c r="E207" s="1" t="s">
        <v>932</v>
      </c>
      <c r="F207" s="1" t="s">
        <v>19</v>
      </c>
      <c r="G207" s="1" t="s">
        <v>608</v>
      </c>
      <c r="H207" s="1" t="s">
        <v>808</v>
      </c>
      <c r="I207" s="1" t="s">
        <v>1158</v>
      </c>
      <c r="J207" s="1" t="s">
        <v>1159</v>
      </c>
      <c r="K207" s="1" t="s">
        <v>683</v>
      </c>
      <c r="L207">
        <v>150000000</v>
      </c>
      <c r="M207">
        <v>682300000</v>
      </c>
      <c r="N207">
        <v>532300000</v>
      </c>
      <c r="O207">
        <v>354.87</v>
      </c>
      <c r="P207" t="s">
        <v>23</v>
      </c>
    </row>
    <row r="208" spans="1:16" x14ac:dyDescent="0.3">
      <c r="A208" s="1" t="s">
        <v>1160</v>
      </c>
      <c r="B208" s="2">
        <v>41768</v>
      </c>
      <c r="C208">
        <v>2014</v>
      </c>
      <c r="D208" s="1" t="s">
        <v>751</v>
      </c>
      <c r="E208" s="1" t="s">
        <v>1161</v>
      </c>
      <c r="F208" s="1" t="s">
        <v>19</v>
      </c>
      <c r="G208" s="1" t="s">
        <v>1162</v>
      </c>
      <c r="H208" s="1" t="s">
        <v>1163</v>
      </c>
      <c r="I208" s="1" t="s">
        <v>1164</v>
      </c>
      <c r="J208" s="1" t="s">
        <v>1165</v>
      </c>
      <c r="K208" s="1" t="s">
        <v>19</v>
      </c>
      <c r="L208">
        <v>5000000</v>
      </c>
      <c r="M208">
        <v>10500000</v>
      </c>
      <c r="N208">
        <v>5500000</v>
      </c>
      <c r="O208">
        <v>110</v>
      </c>
      <c r="P208" t="s">
        <v>40</v>
      </c>
    </row>
    <row r="209" spans="1:16" x14ac:dyDescent="0.3">
      <c r="A209" s="1" t="s">
        <v>1166</v>
      </c>
      <c r="B209" s="2">
        <v>42503</v>
      </c>
      <c r="C209">
        <v>2016</v>
      </c>
      <c r="D209" s="1" t="s">
        <v>74</v>
      </c>
      <c r="E209" s="1" t="s">
        <v>612</v>
      </c>
      <c r="F209" s="1" t="s">
        <v>19</v>
      </c>
      <c r="G209" s="1" t="s">
        <v>797</v>
      </c>
      <c r="H209" s="1" t="s">
        <v>1153</v>
      </c>
      <c r="I209" s="1" t="s">
        <v>68</v>
      </c>
      <c r="J209" s="1" t="s">
        <v>1167</v>
      </c>
      <c r="K209" s="1" t="s">
        <v>1168</v>
      </c>
      <c r="L209">
        <v>27000000</v>
      </c>
      <c r="M209">
        <v>93100000</v>
      </c>
      <c r="N209">
        <v>66100000</v>
      </c>
      <c r="O209">
        <v>244.81</v>
      </c>
      <c r="P209" t="s">
        <v>40</v>
      </c>
    </row>
    <row r="210" spans="1:16" x14ac:dyDescent="0.3">
      <c r="A210" s="1" t="s">
        <v>1169</v>
      </c>
      <c r="B210" s="2">
        <v>42391</v>
      </c>
      <c r="C210">
        <v>2016</v>
      </c>
      <c r="D210" s="1" t="s">
        <v>25</v>
      </c>
      <c r="E210" s="1" t="s">
        <v>1170</v>
      </c>
      <c r="F210" s="1" t="s">
        <v>19</v>
      </c>
      <c r="G210" s="1" t="s">
        <v>1171</v>
      </c>
      <c r="H210" s="1" t="s">
        <v>1172</v>
      </c>
      <c r="I210" s="1" t="s">
        <v>1173</v>
      </c>
      <c r="J210" s="1" t="s">
        <v>1174</v>
      </c>
      <c r="K210" s="1" t="s">
        <v>19</v>
      </c>
      <c r="L210">
        <v>56000000</v>
      </c>
      <c r="M210">
        <v>385200000</v>
      </c>
      <c r="N210">
        <v>329200000</v>
      </c>
      <c r="O210">
        <v>587.86</v>
      </c>
      <c r="P210" t="s">
        <v>23</v>
      </c>
    </row>
    <row r="211" spans="1:16" x14ac:dyDescent="0.3">
      <c r="A211" s="1" t="s">
        <v>1175</v>
      </c>
      <c r="B211" s="2">
        <v>41054</v>
      </c>
      <c r="C211">
        <v>2012</v>
      </c>
      <c r="D211" s="1" t="s">
        <v>42</v>
      </c>
      <c r="E211" s="1" t="s">
        <v>1176</v>
      </c>
      <c r="F211" s="1" t="s">
        <v>19</v>
      </c>
      <c r="G211" s="1" t="s">
        <v>1177</v>
      </c>
      <c r="H211" s="1" t="s">
        <v>1178</v>
      </c>
      <c r="I211" s="1" t="s">
        <v>82</v>
      </c>
      <c r="J211" s="1" t="s">
        <v>1179</v>
      </c>
      <c r="K211" s="1" t="s">
        <v>171</v>
      </c>
      <c r="L211">
        <v>16000000</v>
      </c>
      <c r="M211">
        <v>68300000</v>
      </c>
      <c r="N211">
        <v>52300000</v>
      </c>
      <c r="O211">
        <v>326.88</v>
      </c>
      <c r="P211" t="s">
        <v>23</v>
      </c>
    </row>
    <row r="212" spans="1:16" x14ac:dyDescent="0.3">
      <c r="A212" s="1" t="s">
        <v>1180</v>
      </c>
      <c r="B212" s="2">
        <v>42027</v>
      </c>
      <c r="C212">
        <v>2015</v>
      </c>
      <c r="D212" s="1" t="s">
        <v>25</v>
      </c>
      <c r="E212" s="1" t="s">
        <v>937</v>
      </c>
      <c r="F212" s="1" t="s">
        <v>19</v>
      </c>
      <c r="G212" s="1" t="s">
        <v>311</v>
      </c>
      <c r="H212" s="1" t="s">
        <v>945</v>
      </c>
      <c r="I212" s="1" t="s">
        <v>517</v>
      </c>
      <c r="J212" s="1" t="s">
        <v>1181</v>
      </c>
      <c r="K212" s="1" t="s">
        <v>1182</v>
      </c>
      <c r="L212">
        <v>60000000</v>
      </c>
      <c r="M212">
        <v>47000000</v>
      </c>
      <c r="N212">
        <v>-13000000</v>
      </c>
      <c r="O212">
        <v>-21.67</v>
      </c>
      <c r="P212" t="s">
        <v>72</v>
      </c>
    </row>
    <row r="213" spans="1:16" x14ac:dyDescent="0.3">
      <c r="A213" s="1" t="s">
        <v>1183</v>
      </c>
      <c r="B213" s="2">
        <v>42473</v>
      </c>
      <c r="C213">
        <v>2016</v>
      </c>
      <c r="D213" s="1" t="s">
        <v>42</v>
      </c>
      <c r="E213" s="1" t="s">
        <v>1184</v>
      </c>
      <c r="F213" s="1" t="s">
        <v>19</v>
      </c>
      <c r="G213" s="1" t="s">
        <v>848</v>
      </c>
      <c r="H213" s="1" t="s">
        <v>1153</v>
      </c>
      <c r="I213" s="1" t="s">
        <v>1185</v>
      </c>
      <c r="J213" s="1" t="s">
        <v>1186</v>
      </c>
      <c r="K213" s="1" t="s">
        <v>642</v>
      </c>
      <c r="L213">
        <v>25000000</v>
      </c>
      <c r="M213">
        <v>43800000</v>
      </c>
      <c r="N213">
        <v>18800000</v>
      </c>
      <c r="O213">
        <v>75.2</v>
      </c>
      <c r="P213" t="s">
        <v>32</v>
      </c>
    </row>
    <row r="214" spans="1:16" x14ac:dyDescent="0.3">
      <c r="A214" s="1" t="s">
        <v>1187</v>
      </c>
      <c r="B214" s="2">
        <v>41677</v>
      </c>
      <c r="C214">
        <v>2014</v>
      </c>
      <c r="D214" s="1" t="s">
        <v>445</v>
      </c>
      <c r="E214" s="1" t="s">
        <v>1188</v>
      </c>
      <c r="F214" s="1" t="s">
        <v>19</v>
      </c>
      <c r="G214" s="1" t="s">
        <v>1189</v>
      </c>
      <c r="H214" s="1" t="s">
        <v>189</v>
      </c>
      <c r="I214" s="1" t="s">
        <v>1190</v>
      </c>
      <c r="J214" s="1" t="s">
        <v>123</v>
      </c>
      <c r="K214" s="1" t="s">
        <v>1191</v>
      </c>
      <c r="L214">
        <v>145000000</v>
      </c>
      <c r="M214">
        <v>275700000</v>
      </c>
      <c r="N214">
        <v>130700000</v>
      </c>
      <c r="O214">
        <v>90.14</v>
      </c>
      <c r="P214" t="s">
        <v>32</v>
      </c>
    </row>
    <row r="215" spans="1:16" x14ac:dyDescent="0.3">
      <c r="A215" s="1" t="s">
        <v>1192</v>
      </c>
      <c r="B215" s="2">
        <v>41390</v>
      </c>
      <c r="C215">
        <v>2013</v>
      </c>
      <c r="D215" s="1" t="s">
        <v>74</v>
      </c>
      <c r="E215" s="1" t="s">
        <v>1144</v>
      </c>
      <c r="F215" s="1" t="s">
        <v>19</v>
      </c>
      <c r="G215" s="1" t="s">
        <v>693</v>
      </c>
      <c r="H215" s="1" t="s">
        <v>851</v>
      </c>
      <c r="I215" s="1" t="s">
        <v>1106</v>
      </c>
      <c r="J215" s="1" t="s">
        <v>388</v>
      </c>
      <c r="K215" s="1" t="s">
        <v>1146</v>
      </c>
      <c r="L215">
        <v>10000000</v>
      </c>
      <c r="M215">
        <v>32600000</v>
      </c>
      <c r="N215">
        <v>22600000</v>
      </c>
      <c r="O215">
        <v>226</v>
      </c>
      <c r="P215" t="s">
        <v>40</v>
      </c>
    </row>
    <row r="216" spans="1:16" x14ac:dyDescent="0.3">
      <c r="A216" s="1" t="s">
        <v>1193</v>
      </c>
      <c r="B216" s="2">
        <v>42143</v>
      </c>
      <c r="C216">
        <v>2015</v>
      </c>
      <c r="D216" s="1" t="s">
        <v>74</v>
      </c>
      <c r="E216" s="1" t="s">
        <v>1194</v>
      </c>
      <c r="F216" s="1" t="s">
        <v>19</v>
      </c>
      <c r="G216" s="1" t="s">
        <v>1195</v>
      </c>
      <c r="H216" s="1" t="s">
        <v>19</v>
      </c>
      <c r="I216" s="1" t="s">
        <v>19</v>
      </c>
      <c r="J216" s="1" t="s">
        <v>19</v>
      </c>
      <c r="K216" s="1" t="s">
        <v>19</v>
      </c>
      <c r="L216">
        <v>1300000</v>
      </c>
      <c r="M216">
        <v>4900000</v>
      </c>
      <c r="N216">
        <v>3600000</v>
      </c>
      <c r="O216">
        <v>276.92</v>
      </c>
      <c r="P216" t="s">
        <v>40</v>
      </c>
    </row>
    <row r="217" spans="1:16" x14ac:dyDescent="0.3">
      <c r="A217" s="1" t="s">
        <v>1196</v>
      </c>
      <c r="B217" s="2">
        <v>42321</v>
      </c>
      <c r="C217">
        <v>2015</v>
      </c>
      <c r="D217" s="1" t="s">
        <v>59</v>
      </c>
      <c r="E217" s="1" t="s">
        <v>1197</v>
      </c>
      <c r="F217" s="1" t="s">
        <v>19</v>
      </c>
      <c r="G217" s="1" t="s">
        <v>1073</v>
      </c>
      <c r="H217" s="1" t="s">
        <v>1198</v>
      </c>
      <c r="I217" s="1" t="s">
        <v>1199</v>
      </c>
      <c r="J217" s="1" t="s">
        <v>1200</v>
      </c>
      <c r="K217" s="1" t="s">
        <v>1201</v>
      </c>
      <c r="L217">
        <v>20000000</v>
      </c>
      <c r="M217">
        <v>2200000</v>
      </c>
      <c r="N217">
        <v>-17800000</v>
      </c>
      <c r="O217">
        <v>-89</v>
      </c>
      <c r="P217" t="s">
        <v>72</v>
      </c>
    </row>
    <row r="218" spans="1:16" x14ac:dyDescent="0.3">
      <c r="A218" s="1" t="s">
        <v>1202</v>
      </c>
      <c r="B218" s="2">
        <v>42454</v>
      </c>
      <c r="C218">
        <v>2016</v>
      </c>
      <c r="D218" s="1" t="s">
        <v>166</v>
      </c>
      <c r="E218" s="1" t="s">
        <v>1203</v>
      </c>
      <c r="F218" s="1" t="s">
        <v>19</v>
      </c>
      <c r="G218" s="1" t="s">
        <v>1204</v>
      </c>
      <c r="H218" s="1" t="s">
        <v>1205</v>
      </c>
      <c r="I218" s="1" t="s">
        <v>1206</v>
      </c>
      <c r="J218" s="1" t="s">
        <v>1207</v>
      </c>
      <c r="K218" s="1" t="s">
        <v>19</v>
      </c>
      <c r="L218">
        <v>18000000</v>
      </c>
      <c r="M218">
        <v>88900000</v>
      </c>
      <c r="N218">
        <v>70900000</v>
      </c>
      <c r="O218">
        <v>393.89</v>
      </c>
      <c r="P218" t="s">
        <v>23</v>
      </c>
    </row>
    <row r="219" spans="1:16" x14ac:dyDescent="0.3">
      <c r="A219" s="1" t="s">
        <v>1208</v>
      </c>
      <c r="B219" s="2">
        <v>41710</v>
      </c>
      <c r="C219">
        <v>2014</v>
      </c>
      <c r="D219" s="1" t="s">
        <v>25</v>
      </c>
      <c r="E219" s="1" t="s">
        <v>1209</v>
      </c>
      <c r="F219" s="1" t="s">
        <v>19</v>
      </c>
      <c r="G219" s="1" t="s">
        <v>101</v>
      </c>
      <c r="H219" s="1" t="s">
        <v>102</v>
      </c>
      <c r="I219" s="1" t="s">
        <v>141</v>
      </c>
      <c r="J219" s="1" t="s">
        <v>1210</v>
      </c>
      <c r="K219" s="1" t="s">
        <v>1211</v>
      </c>
      <c r="L219">
        <v>65000000</v>
      </c>
      <c r="M219">
        <v>203300000</v>
      </c>
      <c r="N219">
        <v>138300000</v>
      </c>
      <c r="O219">
        <v>212.77</v>
      </c>
      <c r="P219" t="s">
        <v>40</v>
      </c>
    </row>
    <row r="220" spans="1:16" x14ac:dyDescent="0.3">
      <c r="A220" s="1" t="s">
        <v>1212</v>
      </c>
      <c r="B220" s="2">
        <v>41706</v>
      </c>
      <c r="C220">
        <v>2014</v>
      </c>
      <c r="D220" s="1" t="s">
        <v>42</v>
      </c>
      <c r="E220" s="1" t="s">
        <v>1213</v>
      </c>
      <c r="F220" s="1" t="s">
        <v>19</v>
      </c>
      <c r="G220" s="1" t="s">
        <v>1018</v>
      </c>
      <c r="H220" s="1" t="s">
        <v>568</v>
      </c>
      <c r="I220" s="1" t="s">
        <v>216</v>
      </c>
      <c r="J220" s="1" t="s">
        <v>1214</v>
      </c>
      <c r="K220" s="1" t="s">
        <v>1215</v>
      </c>
      <c r="L220">
        <v>18000000</v>
      </c>
      <c r="M220">
        <v>270700000</v>
      </c>
      <c r="N220">
        <v>252700000</v>
      </c>
      <c r="O220">
        <v>1403.89</v>
      </c>
      <c r="P220" t="s">
        <v>23</v>
      </c>
    </row>
    <row r="221" spans="1:16" x14ac:dyDescent="0.3">
      <c r="A221" s="1" t="s">
        <v>1216</v>
      </c>
      <c r="B221" s="2">
        <v>42510</v>
      </c>
      <c r="C221">
        <v>2016</v>
      </c>
      <c r="D221" s="1" t="s">
        <v>42</v>
      </c>
      <c r="E221" s="1" t="s">
        <v>1213</v>
      </c>
      <c r="F221" s="1" t="s">
        <v>19</v>
      </c>
      <c r="G221" s="1" t="s">
        <v>1018</v>
      </c>
      <c r="H221" s="1" t="s">
        <v>568</v>
      </c>
      <c r="I221" s="1" t="s">
        <v>216</v>
      </c>
      <c r="J221" s="1" t="s">
        <v>885</v>
      </c>
      <c r="K221" s="1" t="s">
        <v>1215</v>
      </c>
      <c r="L221">
        <v>35000000</v>
      </c>
      <c r="M221">
        <v>107900000</v>
      </c>
      <c r="N221">
        <v>72900000</v>
      </c>
      <c r="O221">
        <v>208.29</v>
      </c>
      <c r="P221" t="s">
        <v>40</v>
      </c>
    </row>
    <row r="222" spans="1:16" x14ac:dyDescent="0.3">
      <c r="A222" s="1" t="s">
        <v>1217</v>
      </c>
      <c r="B222" s="2">
        <v>42578</v>
      </c>
      <c r="C222">
        <v>2016</v>
      </c>
      <c r="D222" s="1" t="s">
        <v>17</v>
      </c>
      <c r="E222" s="1" t="s">
        <v>1218</v>
      </c>
      <c r="F222" s="1" t="s">
        <v>1219</v>
      </c>
      <c r="G222" s="1" t="s">
        <v>1215</v>
      </c>
      <c r="H222" s="1" t="s">
        <v>1220</v>
      </c>
      <c r="I222" s="1" t="s">
        <v>1221</v>
      </c>
      <c r="J222" s="1" t="s">
        <v>1222</v>
      </c>
      <c r="K222" s="1" t="s">
        <v>1223</v>
      </c>
      <c r="L222">
        <v>20000000</v>
      </c>
      <c r="M222">
        <v>47600000</v>
      </c>
      <c r="N222">
        <v>27600000</v>
      </c>
      <c r="O222">
        <v>138</v>
      </c>
      <c r="P222" t="s">
        <v>40</v>
      </c>
    </row>
    <row r="223" spans="1:16" x14ac:dyDescent="0.3">
      <c r="A223" s="1" t="s">
        <v>1224</v>
      </c>
      <c r="B223" s="2">
        <v>41984</v>
      </c>
      <c r="C223">
        <v>2014</v>
      </c>
      <c r="D223" s="1" t="s">
        <v>42</v>
      </c>
      <c r="E223" s="1" t="s">
        <v>1225</v>
      </c>
      <c r="F223" s="1" t="s">
        <v>19</v>
      </c>
      <c r="G223" s="1" t="s">
        <v>1226</v>
      </c>
      <c r="H223" s="1" t="s">
        <v>1227</v>
      </c>
      <c r="I223" s="1" t="s">
        <v>128</v>
      </c>
      <c r="J223" s="1" t="s">
        <v>1228</v>
      </c>
      <c r="K223" s="1" t="s">
        <v>1229</v>
      </c>
      <c r="L223">
        <v>127000000</v>
      </c>
      <c r="M223">
        <v>363200000</v>
      </c>
      <c r="N223">
        <v>236200000</v>
      </c>
      <c r="O223">
        <v>185.98</v>
      </c>
      <c r="P223" t="s">
        <v>40</v>
      </c>
    </row>
    <row r="224" spans="1:16" x14ac:dyDescent="0.3">
      <c r="A224" s="1" t="s">
        <v>1230</v>
      </c>
      <c r="B224" s="2">
        <v>41887</v>
      </c>
      <c r="C224">
        <v>2014</v>
      </c>
      <c r="D224" s="1" t="s">
        <v>74</v>
      </c>
      <c r="E224" s="1" t="s">
        <v>1231</v>
      </c>
      <c r="F224" s="1" t="s">
        <v>19</v>
      </c>
      <c r="G224" s="1" t="s">
        <v>622</v>
      </c>
      <c r="H224" s="1" t="s">
        <v>38</v>
      </c>
      <c r="I224" s="1" t="s">
        <v>1232</v>
      </c>
      <c r="J224" s="1" t="s">
        <v>950</v>
      </c>
      <c r="K224" s="1" t="s">
        <v>19</v>
      </c>
      <c r="L224">
        <v>8500000</v>
      </c>
      <c r="M224">
        <v>50300000</v>
      </c>
      <c r="N224">
        <v>41800000</v>
      </c>
      <c r="O224">
        <v>491.76</v>
      </c>
      <c r="P224" t="s">
        <v>23</v>
      </c>
    </row>
    <row r="225" spans="1:16" x14ac:dyDescent="0.3">
      <c r="A225" s="1" t="s">
        <v>1233</v>
      </c>
      <c r="B225" s="2">
        <v>42587</v>
      </c>
      <c r="C225">
        <v>2016</v>
      </c>
      <c r="D225" s="1" t="s">
        <v>42</v>
      </c>
      <c r="E225" s="1" t="s">
        <v>1141</v>
      </c>
      <c r="F225" s="1" t="s">
        <v>19</v>
      </c>
      <c r="G225" s="1" t="s">
        <v>847</v>
      </c>
      <c r="H225" s="1" t="s">
        <v>1234</v>
      </c>
      <c r="I225" s="1" t="s">
        <v>482</v>
      </c>
      <c r="J225" s="1" t="s">
        <v>605</v>
      </c>
      <c r="K225" s="1" t="s">
        <v>1235</v>
      </c>
      <c r="L225">
        <v>30000000</v>
      </c>
      <c r="M225">
        <v>19100000</v>
      </c>
      <c r="N225">
        <v>-10900000</v>
      </c>
      <c r="O225">
        <v>-36.33</v>
      </c>
      <c r="P225" t="s">
        <v>72</v>
      </c>
    </row>
    <row r="226" spans="1:16" x14ac:dyDescent="0.3">
      <c r="A226" s="1" t="s">
        <v>1236</v>
      </c>
      <c r="B226" s="2">
        <v>42233</v>
      </c>
      <c r="C226">
        <v>2015</v>
      </c>
      <c r="D226" s="1" t="s">
        <v>25</v>
      </c>
      <c r="E226" s="1" t="s">
        <v>230</v>
      </c>
      <c r="F226" s="1" t="s">
        <v>19</v>
      </c>
      <c r="G226" s="1" t="s">
        <v>1228</v>
      </c>
      <c r="H226" s="1" t="s">
        <v>100</v>
      </c>
      <c r="I226" s="1" t="s">
        <v>1237</v>
      </c>
      <c r="J226" s="1" t="s">
        <v>19</v>
      </c>
      <c r="K226" s="1" t="s">
        <v>19</v>
      </c>
      <c r="L226">
        <v>5000000</v>
      </c>
      <c r="M226">
        <v>54400000</v>
      </c>
      <c r="N226">
        <v>49400000</v>
      </c>
      <c r="O226">
        <v>988</v>
      </c>
      <c r="P226" t="s">
        <v>23</v>
      </c>
    </row>
    <row r="227" spans="1:16" x14ac:dyDescent="0.3">
      <c r="A227" s="1" t="s">
        <v>1238</v>
      </c>
      <c r="B227" s="2">
        <v>41894</v>
      </c>
      <c r="C227">
        <v>2014</v>
      </c>
      <c r="D227" s="1" t="s">
        <v>125</v>
      </c>
      <c r="E227" s="1" t="s">
        <v>1239</v>
      </c>
      <c r="F227" s="1" t="s">
        <v>19</v>
      </c>
      <c r="G227" s="1" t="s">
        <v>741</v>
      </c>
      <c r="H227" s="1" t="s">
        <v>1240</v>
      </c>
      <c r="I227" s="1" t="s">
        <v>1241</v>
      </c>
      <c r="J227" s="1" t="s">
        <v>19</v>
      </c>
      <c r="K227" s="1" t="s">
        <v>19</v>
      </c>
      <c r="L227">
        <v>13200000</v>
      </c>
      <c r="M227">
        <v>54300000</v>
      </c>
      <c r="N227">
        <v>41100000</v>
      </c>
      <c r="O227">
        <v>311.36</v>
      </c>
      <c r="P227" t="s">
        <v>23</v>
      </c>
    </row>
    <row r="228" spans="1:16" x14ac:dyDescent="0.3">
      <c r="A228" s="1" t="s">
        <v>1242</v>
      </c>
      <c r="B228" s="2">
        <v>41404</v>
      </c>
      <c r="C228">
        <v>2013</v>
      </c>
      <c r="D228" s="1" t="s">
        <v>138</v>
      </c>
      <c r="E228" s="1" t="s">
        <v>1243</v>
      </c>
      <c r="F228" s="1" t="s">
        <v>19</v>
      </c>
      <c r="G228" s="1" t="s">
        <v>573</v>
      </c>
      <c r="H228" s="1" t="s">
        <v>1244</v>
      </c>
      <c r="I228" s="1" t="s">
        <v>1245</v>
      </c>
      <c r="J228" s="1" t="s">
        <v>1246</v>
      </c>
      <c r="K228" s="1" t="s">
        <v>1247</v>
      </c>
      <c r="L228">
        <v>2900000</v>
      </c>
      <c r="M228">
        <v>1000000</v>
      </c>
      <c r="N228">
        <v>-1900000</v>
      </c>
      <c r="O228">
        <v>-65.52</v>
      </c>
      <c r="P228" t="s">
        <v>72</v>
      </c>
    </row>
    <row r="229" spans="1:16" x14ac:dyDescent="0.3">
      <c r="A229" s="1" t="s">
        <v>1248</v>
      </c>
      <c r="B229" s="2">
        <v>41708</v>
      </c>
      <c r="C229">
        <v>2014</v>
      </c>
      <c r="D229" s="1" t="s">
        <v>132</v>
      </c>
      <c r="E229" s="1" t="s">
        <v>1249</v>
      </c>
      <c r="F229" s="1" t="s">
        <v>19</v>
      </c>
      <c r="G229" s="1" t="s">
        <v>1034</v>
      </c>
      <c r="H229" s="1" t="s">
        <v>1250</v>
      </c>
      <c r="I229" s="1" t="s">
        <v>708</v>
      </c>
      <c r="J229" s="1" t="s">
        <v>1251</v>
      </c>
      <c r="K229" s="1" t="s">
        <v>1252</v>
      </c>
      <c r="L229">
        <v>125000000</v>
      </c>
      <c r="M229">
        <v>362600000</v>
      </c>
      <c r="N229">
        <v>237600000</v>
      </c>
      <c r="O229">
        <v>190.08</v>
      </c>
      <c r="P229" t="s">
        <v>40</v>
      </c>
    </row>
    <row r="230" spans="1:16" x14ac:dyDescent="0.3">
      <c r="A230" s="1" t="s">
        <v>1253</v>
      </c>
      <c r="B230" s="2">
        <v>41666</v>
      </c>
      <c r="C230">
        <v>2014</v>
      </c>
      <c r="D230" s="1" t="s">
        <v>17</v>
      </c>
      <c r="E230" s="1" t="s">
        <v>1254</v>
      </c>
      <c r="F230" s="1" t="s">
        <v>19</v>
      </c>
      <c r="G230" s="1" t="s">
        <v>127</v>
      </c>
      <c r="H230" s="1" t="s">
        <v>1255</v>
      </c>
      <c r="I230" s="1" t="s">
        <v>1256</v>
      </c>
      <c r="J230" s="1" t="s">
        <v>300</v>
      </c>
      <c r="K230" s="1" t="s">
        <v>1257</v>
      </c>
      <c r="L230">
        <v>50000000</v>
      </c>
      <c r="M230">
        <v>222800000</v>
      </c>
      <c r="N230">
        <v>172800000</v>
      </c>
      <c r="O230">
        <v>345.6</v>
      </c>
      <c r="P230" t="s">
        <v>23</v>
      </c>
    </row>
    <row r="231" spans="1:16" x14ac:dyDescent="0.3">
      <c r="A231" s="1" t="s">
        <v>1258</v>
      </c>
      <c r="B231" s="2">
        <v>41425</v>
      </c>
      <c r="C231">
        <v>2013</v>
      </c>
      <c r="D231" s="1" t="s">
        <v>125</v>
      </c>
      <c r="E231" s="1" t="s">
        <v>1259</v>
      </c>
      <c r="F231" s="1" t="s">
        <v>19</v>
      </c>
      <c r="G231" s="1" t="s">
        <v>193</v>
      </c>
      <c r="H231" s="1" t="s">
        <v>1260</v>
      </c>
      <c r="I231" s="1" t="s">
        <v>294</v>
      </c>
      <c r="J231" s="1" t="s">
        <v>1261</v>
      </c>
      <c r="K231" s="1" t="s">
        <v>1262</v>
      </c>
      <c r="L231">
        <v>75000000</v>
      </c>
      <c r="M231">
        <v>351700000</v>
      </c>
      <c r="N231">
        <v>276700000</v>
      </c>
      <c r="O231">
        <v>368.93</v>
      </c>
      <c r="P231" t="s">
        <v>23</v>
      </c>
    </row>
    <row r="232" spans="1:16" x14ac:dyDescent="0.3">
      <c r="A232" s="1" t="s">
        <v>1263</v>
      </c>
      <c r="B232" s="2">
        <v>42527</v>
      </c>
      <c r="C232">
        <v>2016</v>
      </c>
      <c r="D232" s="1" t="s">
        <v>17</v>
      </c>
      <c r="E232" s="1" t="s">
        <v>959</v>
      </c>
      <c r="F232" s="1" t="s">
        <v>19</v>
      </c>
      <c r="G232" s="1" t="s">
        <v>1262</v>
      </c>
      <c r="H232" s="1" t="s">
        <v>193</v>
      </c>
      <c r="I232" s="1" t="s">
        <v>1261</v>
      </c>
      <c r="J232" s="1" t="s">
        <v>1215</v>
      </c>
      <c r="K232" s="1" t="s">
        <v>1264</v>
      </c>
      <c r="L232">
        <v>90000000</v>
      </c>
      <c r="M232">
        <v>320900000</v>
      </c>
      <c r="N232">
        <v>230900000</v>
      </c>
      <c r="O232">
        <v>256.56</v>
      </c>
      <c r="P232" t="s">
        <v>40</v>
      </c>
    </row>
    <row r="233" spans="1:16" x14ac:dyDescent="0.3">
      <c r="A233" s="1" t="s">
        <v>1265</v>
      </c>
      <c r="B233" s="2">
        <v>41374</v>
      </c>
      <c r="C233">
        <v>2013</v>
      </c>
      <c r="D233" s="1" t="s">
        <v>25</v>
      </c>
      <c r="E233" s="1" t="s">
        <v>1266</v>
      </c>
      <c r="F233" s="1" t="s">
        <v>19</v>
      </c>
      <c r="G233" s="1" t="s">
        <v>608</v>
      </c>
      <c r="H233" s="1" t="s">
        <v>1267</v>
      </c>
      <c r="I233" s="1" t="s">
        <v>1268</v>
      </c>
      <c r="J233" s="1" t="s">
        <v>294</v>
      </c>
      <c r="K233" s="1" t="s">
        <v>767</v>
      </c>
      <c r="L233">
        <v>120000000</v>
      </c>
      <c r="M233">
        <v>286200000</v>
      </c>
      <c r="N233">
        <v>166200000</v>
      </c>
      <c r="O233">
        <v>138.5</v>
      </c>
      <c r="P233" t="s">
        <v>40</v>
      </c>
    </row>
    <row r="234" spans="1:16" x14ac:dyDescent="0.3">
      <c r="A234" s="1" t="s">
        <v>1269</v>
      </c>
      <c r="B234" s="2">
        <v>41355</v>
      </c>
      <c r="C234">
        <v>2013</v>
      </c>
      <c r="D234" s="1" t="s">
        <v>25</v>
      </c>
      <c r="E234" s="1" t="s">
        <v>1270</v>
      </c>
      <c r="F234" s="1" t="s">
        <v>19</v>
      </c>
      <c r="G234" s="1" t="s">
        <v>410</v>
      </c>
      <c r="H234" s="1" t="s">
        <v>1073</v>
      </c>
      <c r="I234" s="1" t="s">
        <v>294</v>
      </c>
      <c r="J234" s="1" t="s">
        <v>1271</v>
      </c>
      <c r="K234" s="1" t="s">
        <v>1272</v>
      </c>
      <c r="L234">
        <v>70000000</v>
      </c>
      <c r="M234">
        <v>161000000</v>
      </c>
      <c r="N234">
        <v>91000000</v>
      </c>
      <c r="O234">
        <v>130</v>
      </c>
      <c r="P234" t="s">
        <v>40</v>
      </c>
    </row>
    <row r="235" spans="1:16" x14ac:dyDescent="0.3">
      <c r="A235" s="1" t="s">
        <v>1273</v>
      </c>
      <c r="B235" s="2">
        <v>41515</v>
      </c>
      <c r="C235">
        <v>2013</v>
      </c>
      <c r="D235" s="1" t="s">
        <v>1274</v>
      </c>
      <c r="E235" s="1" t="s">
        <v>1275</v>
      </c>
      <c r="F235" s="1" t="s">
        <v>19</v>
      </c>
      <c r="G235" s="1" t="s">
        <v>1276</v>
      </c>
      <c r="H235" s="1" t="s">
        <v>1277</v>
      </c>
      <c r="I235" s="1" t="s">
        <v>1278</v>
      </c>
      <c r="J235" s="1" t="s">
        <v>1279</v>
      </c>
      <c r="K235" s="1" t="s">
        <v>1280</v>
      </c>
      <c r="L235">
        <v>10000000</v>
      </c>
      <c r="M235">
        <v>68500000</v>
      </c>
      <c r="N235">
        <v>58500000</v>
      </c>
      <c r="O235">
        <v>585</v>
      </c>
      <c r="P235" t="s">
        <v>23</v>
      </c>
    </row>
    <row r="236" spans="1:16" x14ac:dyDescent="0.3">
      <c r="A236" s="1" t="s">
        <v>1281</v>
      </c>
      <c r="B236" s="2">
        <v>40935</v>
      </c>
      <c r="C236">
        <v>2012</v>
      </c>
      <c r="D236" s="1" t="s">
        <v>125</v>
      </c>
      <c r="E236" s="1" t="s">
        <v>1282</v>
      </c>
      <c r="F236" s="1" t="s">
        <v>19</v>
      </c>
      <c r="G236" s="1" t="s">
        <v>1283</v>
      </c>
      <c r="H236" s="1" t="s">
        <v>1284</v>
      </c>
      <c r="I236" s="1" t="s">
        <v>1285</v>
      </c>
      <c r="J236" s="1" t="s">
        <v>1286</v>
      </c>
      <c r="K236" s="1" t="s">
        <v>1287</v>
      </c>
      <c r="L236">
        <v>40000000</v>
      </c>
      <c r="M236">
        <v>36900000</v>
      </c>
      <c r="N236">
        <v>-3100000</v>
      </c>
      <c r="O236">
        <v>-7.75</v>
      </c>
      <c r="P236" t="s">
        <v>72</v>
      </c>
    </row>
    <row r="237" spans="1:16" x14ac:dyDescent="0.3">
      <c r="A237" s="1" t="s">
        <v>1288</v>
      </c>
      <c r="B237" s="2">
        <v>41936</v>
      </c>
      <c r="C237">
        <v>2014</v>
      </c>
      <c r="D237" s="1" t="s">
        <v>138</v>
      </c>
      <c r="E237" s="1" t="s">
        <v>1289</v>
      </c>
      <c r="F237" s="1" t="s">
        <v>19</v>
      </c>
      <c r="G237" s="1" t="s">
        <v>1290</v>
      </c>
      <c r="H237" s="1" t="s">
        <v>1126</v>
      </c>
      <c r="I237" s="1" t="s">
        <v>1291</v>
      </c>
      <c r="J237" s="1" t="s">
        <v>1292</v>
      </c>
      <c r="K237" s="1" t="s">
        <v>1293</v>
      </c>
      <c r="L237">
        <v>5000000</v>
      </c>
      <c r="M237">
        <v>103600000</v>
      </c>
      <c r="N237">
        <v>98600000</v>
      </c>
      <c r="O237">
        <v>1972</v>
      </c>
      <c r="P237" t="s">
        <v>23</v>
      </c>
    </row>
    <row r="238" spans="1:16" x14ac:dyDescent="0.3">
      <c r="A238" s="1" t="s">
        <v>1294</v>
      </c>
      <c r="B238" s="2">
        <v>42258</v>
      </c>
      <c r="C238">
        <v>2015</v>
      </c>
      <c r="D238" s="1" t="s">
        <v>42</v>
      </c>
      <c r="E238" s="1" t="s">
        <v>1295</v>
      </c>
      <c r="F238" s="1" t="s">
        <v>19</v>
      </c>
      <c r="G238" s="1" t="s">
        <v>1296</v>
      </c>
      <c r="H238" s="1" t="s">
        <v>1002</v>
      </c>
      <c r="I238" s="1" t="s">
        <v>1297</v>
      </c>
      <c r="J238" s="1" t="s">
        <v>142</v>
      </c>
      <c r="K238" s="1" t="s">
        <v>1298</v>
      </c>
      <c r="L238">
        <v>28000000</v>
      </c>
      <c r="M238">
        <v>8600000</v>
      </c>
      <c r="N238">
        <v>-19400000</v>
      </c>
      <c r="O238">
        <v>-69.290000000000006</v>
      </c>
      <c r="P238" t="s">
        <v>72</v>
      </c>
    </row>
    <row r="239" spans="1:16" x14ac:dyDescent="0.3">
      <c r="A239" s="1" t="s">
        <v>1299</v>
      </c>
      <c r="B239" s="2">
        <v>41467</v>
      </c>
      <c r="C239">
        <v>2013</v>
      </c>
      <c r="D239" s="1" t="s">
        <v>25</v>
      </c>
      <c r="E239" s="1" t="s">
        <v>468</v>
      </c>
      <c r="F239" s="1" t="s">
        <v>19</v>
      </c>
      <c r="G239" s="1" t="s">
        <v>471</v>
      </c>
      <c r="H239" s="1" t="s">
        <v>1300</v>
      </c>
      <c r="I239" s="1" t="s">
        <v>741</v>
      </c>
      <c r="J239" s="1" t="s">
        <v>846</v>
      </c>
      <c r="K239" s="1" t="s">
        <v>1301</v>
      </c>
      <c r="L239">
        <v>190000000</v>
      </c>
      <c r="M239">
        <v>411000000</v>
      </c>
      <c r="N239">
        <v>221000000</v>
      </c>
      <c r="O239">
        <v>116.32</v>
      </c>
      <c r="P239" t="s">
        <v>40</v>
      </c>
    </row>
    <row r="240" spans="1:16" x14ac:dyDescent="0.3">
      <c r="A240" s="1" t="s">
        <v>1302</v>
      </c>
      <c r="B240" s="2">
        <v>41390</v>
      </c>
      <c r="C240">
        <v>2013</v>
      </c>
      <c r="D240" s="1" t="s">
        <v>25</v>
      </c>
      <c r="E240" s="1" t="s">
        <v>26</v>
      </c>
      <c r="F240" s="1" t="s">
        <v>19</v>
      </c>
      <c r="G240" s="1" t="s">
        <v>35</v>
      </c>
      <c r="H240" s="1" t="s">
        <v>393</v>
      </c>
      <c r="I240" s="1" t="s">
        <v>1110</v>
      </c>
      <c r="J240" s="1" t="s">
        <v>1303</v>
      </c>
      <c r="K240" s="1" t="s">
        <v>142</v>
      </c>
      <c r="L240">
        <v>26000000</v>
      </c>
      <c r="M240">
        <v>86200000</v>
      </c>
      <c r="N240">
        <v>60200000</v>
      </c>
      <c r="O240">
        <v>231.54</v>
      </c>
      <c r="P240" t="s">
        <v>40</v>
      </c>
    </row>
    <row r="241" spans="1:16" x14ac:dyDescent="0.3">
      <c r="A241" s="1" t="s">
        <v>1304</v>
      </c>
      <c r="B241" s="2">
        <v>42277</v>
      </c>
      <c r="C241">
        <v>2015</v>
      </c>
      <c r="D241" s="1" t="s">
        <v>279</v>
      </c>
      <c r="E241" s="1" t="s">
        <v>1305</v>
      </c>
      <c r="F241" s="1" t="s">
        <v>19</v>
      </c>
      <c r="G241" s="1" t="s">
        <v>406</v>
      </c>
      <c r="H241" s="1" t="s">
        <v>1306</v>
      </c>
      <c r="I241" s="1" t="s">
        <v>154</v>
      </c>
      <c r="J241" s="1" t="s">
        <v>641</v>
      </c>
      <c r="K241" s="1" t="s">
        <v>1307</v>
      </c>
      <c r="L241">
        <v>150000000</v>
      </c>
      <c r="M241">
        <v>128400000</v>
      </c>
      <c r="N241">
        <v>-21600000</v>
      </c>
      <c r="O241">
        <v>-14.4</v>
      </c>
      <c r="P241" t="s">
        <v>72</v>
      </c>
    </row>
    <row r="242" spans="1:16" x14ac:dyDescent="0.3">
      <c r="A242" s="1" t="s">
        <v>1308</v>
      </c>
      <c r="B242" s="2">
        <v>42209</v>
      </c>
      <c r="C242">
        <v>2015</v>
      </c>
      <c r="D242" s="1" t="s">
        <v>166</v>
      </c>
      <c r="E242" s="1" t="s">
        <v>1309</v>
      </c>
      <c r="F242" s="1" t="s">
        <v>19</v>
      </c>
      <c r="G242" s="1" t="s">
        <v>1310</v>
      </c>
      <c r="H242" s="1" t="s">
        <v>1311</v>
      </c>
      <c r="I242" s="1" t="s">
        <v>19</v>
      </c>
      <c r="J242" s="1" t="s">
        <v>19</v>
      </c>
      <c r="K242" s="1" t="s">
        <v>19</v>
      </c>
      <c r="L242">
        <v>12000000</v>
      </c>
      <c r="M242">
        <v>85500000</v>
      </c>
      <c r="N242">
        <v>73500000</v>
      </c>
      <c r="O242">
        <v>612.5</v>
      </c>
      <c r="P242" t="s">
        <v>23</v>
      </c>
    </row>
    <row r="243" spans="1:16" x14ac:dyDescent="0.3">
      <c r="A243" s="1" t="s">
        <v>1312</v>
      </c>
      <c r="B243" s="2">
        <v>41201</v>
      </c>
      <c r="C243">
        <v>2012</v>
      </c>
      <c r="D243" s="1" t="s">
        <v>17</v>
      </c>
      <c r="E243" s="1" t="s">
        <v>1219</v>
      </c>
      <c r="F243" s="1" t="s">
        <v>1218</v>
      </c>
      <c r="G243" s="1" t="s">
        <v>1313</v>
      </c>
      <c r="H243" s="1" t="s">
        <v>1314</v>
      </c>
      <c r="I243" s="1" t="s">
        <v>19</v>
      </c>
      <c r="J243" s="1" t="s">
        <v>19</v>
      </c>
      <c r="K243" s="1" t="s">
        <v>19</v>
      </c>
      <c r="L243">
        <v>5000000</v>
      </c>
      <c r="M243">
        <v>142800000</v>
      </c>
      <c r="N243">
        <v>137800000</v>
      </c>
      <c r="O243">
        <v>2756</v>
      </c>
      <c r="P243" t="s">
        <v>23</v>
      </c>
    </row>
    <row r="244" spans="1:16" x14ac:dyDescent="0.3">
      <c r="A244" s="1" t="s">
        <v>1315</v>
      </c>
      <c r="B244" s="2">
        <v>42300</v>
      </c>
      <c r="C244">
        <v>2015</v>
      </c>
      <c r="D244" s="1" t="s">
        <v>138</v>
      </c>
      <c r="E244" s="1" t="s">
        <v>1316</v>
      </c>
      <c r="F244" s="1" t="s">
        <v>19</v>
      </c>
      <c r="G244" s="1" t="s">
        <v>1314</v>
      </c>
      <c r="H244" s="1" t="s">
        <v>1317</v>
      </c>
      <c r="I244" s="1" t="s">
        <v>19</v>
      </c>
      <c r="J244" s="1" t="s">
        <v>19</v>
      </c>
      <c r="K244" s="1" t="s">
        <v>19</v>
      </c>
      <c r="L244">
        <v>10000000</v>
      </c>
      <c r="M244">
        <v>78100000</v>
      </c>
      <c r="N244">
        <v>68100000</v>
      </c>
      <c r="O244">
        <v>681</v>
      </c>
      <c r="P244" t="s">
        <v>23</v>
      </c>
    </row>
    <row r="245" spans="1:16" x14ac:dyDescent="0.3">
      <c r="A245" s="1" t="s">
        <v>1318</v>
      </c>
      <c r="B245" s="2">
        <v>41138</v>
      </c>
      <c r="C245">
        <v>2012</v>
      </c>
      <c r="D245" s="1" t="s">
        <v>279</v>
      </c>
      <c r="E245" s="1" t="s">
        <v>1319</v>
      </c>
      <c r="F245" s="1" t="s">
        <v>19</v>
      </c>
      <c r="G245" s="1" t="s">
        <v>496</v>
      </c>
      <c r="H245" s="1" t="s">
        <v>1320</v>
      </c>
      <c r="I245" s="1" t="s">
        <v>623</v>
      </c>
      <c r="J245" s="1" t="s">
        <v>153</v>
      </c>
      <c r="K245" s="1" t="s">
        <v>1214</v>
      </c>
      <c r="L245">
        <v>60000000</v>
      </c>
      <c r="M245">
        <v>107100000</v>
      </c>
      <c r="N245">
        <v>47100000</v>
      </c>
      <c r="O245">
        <v>78.5</v>
      </c>
      <c r="P245" t="s">
        <v>32</v>
      </c>
    </row>
    <row r="246" spans="1:16" x14ac:dyDescent="0.3">
      <c r="A246" s="1" t="s">
        <v>1321</v>
      </c>
      <c r="B246" s="2">
        <v>41268</v>
      </c>
      <c r="C246">
        <v>2012</v>
      </c>
      <c r="D246" s="1" t="s">
        <v>42</v>
      </c>
      <c r="E246" s="1" t="s">
        <v>1322</v>
      </c>
      <c r="F246" s="1" t="s">
        <v>19</v>
      </c>
      <c r="G246" s="1" t="s">
        <v>1323</v>
      </c>
      <c r="H246" s="1" t="s">
        <v>1324</v>
      </c>
      <c r="I246" s="1" t="s">
        <v>1325</v>
      </c>
      <c r="J246" s="1" t="s">
        <v>1326</v>
      </c>
      <c r="K246" s="1" t="s">
        <v>1327</v>
      </c>
      <c r="L246">
        <v>25000000</v>
      </c>
      <c r="M246">
        <v>119800000</v>
      </c>
      <c r="N246">
        <v>94800000</v>
      </c>
      <c r="O246">
        <v>379.2</v>
      </c>
      <c r="P246" t="s">
        <v>23</v>
      </c>
    </row>
    <row r="247" spans="1:16" x14ac:dyDescent="0.3">
      <c r="A247" s="1" t="s">
        <v>1328</v>
      </c>
      <c r="B247" s="2">
        <v>41299</v>
      </c>
      <c r="C247">
        <v>2013</v>
      </c>
      <c r="D247" s="1" t="s">
        <v>125</v>
      </c>
      <c r="E247" s="1" t="s">
        <v>1329</v>
      </c>
      <c r="F247" s="1" t="s">
        <v>19</v>
      </c>
      <c r="G247" s="1" t="s">
        <v>1138</v>
      </c>
      <c r="H247" s="1" t="s">
        <v>838</v>
      </c>
      <c r="I247" s="1" t="s">
        <v>217</v>
      </c>
      <c r="J247" s="1" t="s">
        <v>1330</v>
      </c>
      <c r="K247" s="1" t="s">
        <v>560</v>
      </c>
      <c r="L247">
        <v>35000000</v>
      </c>
      <c r="M247">
        <v>48500000</v>
      </c>
      <c r="N247">
        <v>13500000</v>
      </c>
      <c r="O247">
        <v>38.57</v>
      </c>
      <c r="P247" t="s">
        <v>32</v>
      </c>
    </row>
    <row r="248" spans="1:16" x14ac:dyDescent="0.3">
      <c r="A248" s="1" t="s">
        <v>1331</v>
      </c>
      <c r="B248" s="2">
        <v>42111</v>
      </c>
      <c r="C248">
        <v>2015</v>
      </c>
      <c r="D248" s="1" t="s">
        <v>25</v>
      </c>
      <c r="E248" s="1" t="s">
        <v>1322</v>
      </c>
      <c r="F248" s="1" t="s">
        <v>19</v>
      </c>
      <c r="G248" s="1" t="s">
        <v>791</v>
      </c>
      <c r="H248" s="1" t="s">
        <v>1332</v>
      </c>
      <c r="I248" s="1" t="s">
        <v>1333</v>
      </c>
      <c r="J248" s="1" t="s">
        <v>1334</v>
      </c>
      <c r="K248" s="1" t="s">
        <v>1335</v>
      </c>
      <c r="L248">
        <v>40000000</v>
      </c>
      <c r="M248">
        <v>107600000</v>
      </c>
      <c r="N248">
        <v>67600000</v>
      </c>
      <c r="O248">
        <v>169</v>
      </c>
      <c r="P248" t="s">
        <v>40</v>
      </c>
    </row>
    <row r="249" spans="1:16" x14ac:dyDescent="0.3">
      <c r="A249" s="1" t="s">
        <v>1336</v>
      </c>
      <c r="B249" s="2">
        <v>42258</v>
      </c>
      <c r="C249">
        <v>2015</v>
      </c>
      <c r="D249" s="1" t="s">
        <v>59</v>
      </c>
      <c r="E249" s="1" t="s">
        <v>1337</v>
      </c>
      <c r="F249" s="1" t="s">
        <v>19</v>
      </c>
      <c r="G249" s="1" t="s">
        <v>1338</v>
      </c>
      <c r="H249" s="1" t="s">
        <v>1339</v>
      </c>
      <c r="I249" s="1" t="s">
        <v>1340</v>
      </c>
      <c r="J249" s="1" t="s">
        <v>1341</v>
      </c>
      <c r="K249" s="1" t="s">
        <v>1342</v>
      </c>
      <c r="L249">
        <v>19000000</v>
      </c>
      <c r="M249">
        <v>5400000</v>
      </c>
      <c r="N249">
        <v>-13600000</v>
      </c>
      <c r="O249">
        <v>-71.58</v>
      </c>
      <c r="P249" t="s">
        <v>72</v>
      </c>
    </row>
    <row r="250" spans="1:16" x14ac:dyDescent="0.3">
      <c r="A250" s="1" t="s">
        <v>1343</v>
      </c>
      <c r="B250" s="2">
        <v>41957</v>
      </c>
      <c r="C250">
        <v>2014</v>
      </c>
      <c r="D250" s="1" t="s">
        <v>445</v>
      </c>
      <c r="E250" s="1" t="s">
        <v>1344</v>
      </c>
      <c r="F250" s="1" t="s">
        <v>19</v>
      </c>
      <c r="G250" s="1" t="s">
        <v>1345</v>
      </c>
      <c r="H250" s="1" t="s">
        <v>44</v>
      </c>
      <c r="I250" s="1" t="s">
        <v>1346</v>
      </c>
      <c r="J250" s="1" t="s">
        <v>1347</v>
      </c>
      <c r="K250" s="1" t="s">
        <v>313</v>
      </c>
      <c r="L250">
        <v>132000000</v>
      </c>
      <c r="M250">
        <v>373000000</v>
      </c>
      <c r="N250">
        <v>241000000</v>
      </c>
      <c r="O250">
        <v>182.58</v>
      </c>
      <c r="P250" t="s">
        <v>40</v>
      </c>
    </row>
    <row r="251" spans="1:16" x14ac:dyDescent="0.3">
      <c r="A251" s="1" t="s">
        <v>1348</v>
      </c>
      <c r="B251" s="2">
        <v>41089</v>
      </c>
      <c r="C251">
        <v>2012</v>
      </c>
      <c r="D251" s="1" t="s">
        <v>74</v>
      </c>
      <c r="E251" s="1" t="s">
        <v>1349</v>
      </c>
      <c r="F251" s="1" t="s">
        <v>19</v>
      </c>
      <c r="G251" s="1" t="s">
        <v>941</v>
      </c>
      <c r="H251" s="1" t="s">
        <v>1111</v>
      </c>
      <c r="I251" s="1" t="s">
        <v>485</v>
      </c>
      <c r="J251" s="1" t="s">
        <v>1083</v>
      </c>
      <c r="K251" s="1" t="s">
        <v>1350</v>
      </c>
      <c r="L251">
        <v>16000000</v>
      </c>
      <c r="M251">
        <v>12400000</v>
      </c>
      <c r="N251">
        <v>-3600000</v>
      </c>
      <c r="O251">
        <v>-22.5</v>
      </c>
      <c r="P251" t="s">
        <v>72</v>
      </c>
    </row>
    <row r="252" spans="1:16" x14ac:dyDescent="0.3">
      <c r="A252" s="1" t="s">
        <v>1351</v>
      </c>
      <c r="B252" s="2">
        <v>41493</v>
      </c>
      <c r="C252">
        <v>2013</v>
      </c>
      <c r="D252" s="1" t="s">
        <v>132</v>
      </c>
      <c r="E252" s="1" t="s">
        <v>1352</v>
      </c>
      <c r="F252" s="1" t="s">
        <v>19</v>
      </c>
      <c r="G252" s="1" t="s">
        <v>708</v>
      </c>
      <c r="H252" s="1" t="s">
        <v>1353</v>
      </c>
      <c r="I252" s="1" t="s">
        <v>1290</v>
      </c>
      <c r="J252" s="1" t="s">
        <v>1354</v>
      </c>
      <c r="K252" s="1" t="s">
        <v>1355</v>
      </c>
      <c r="L252">
        <v>90000000</v>
      </c>
      <c r="M252">
        <v>202200000</v>
      </c>
      <c r="N252">
        <v>112200000</v>
      </c>
      <c r="O252">
        <v>124.67</v>
      </c>
      <c r="P252" t="s">
        <v>40</v>
      </c>
    </row>
    <row r="253" spans="1:16" x14ac:dyDescent="0.3">
      <c r="A253" s="1" t="s">
        <v>1356</v>
      </c>
      <c r="B253" s="2">
        <v>41187</v>
      </c>
      <c r="C253">
        <v>2012</v>
      </c>
      <c r="D253" s="1" t="s">
        <v>42</v>
      </c>
      <c r="E253" s="1" t="s">
        <v>1357</v>
      </c>
      <c r="F253" s="1" t="s">
        <v>19</v>
      </c>
      <c r="G253" s="1" t="s">
        <v>623</v>
      </c>
      <c r="H253" s="1" t="s">
        <v>1358</v>
      </c>
      <c r="I253" s="1" t="s">
        <v>1359</v>
      </c>
      <c r="J253" s="1" t="s">
        <v>1360</v>
      </c>
      <c r="K253" s="1" t="s">
        <v>1361</v>
      </c>
      <c r="L253">
        <v>17000000</v>
      </c>
      <c r="M253">
        <v>115400000</v>
      </c>
      <c r="N253">
        <v>98400000</v>
      </c>
      <c r="O253">
        <v>578.82000000000005</v>
      </c>
      <c r="P253" t="s">
        <v>23</v>
      </c>
    </row>
    <row r="254" spans="1:16" x14ac:dyDescent="0.3">
      <c r="A254" s="1" t="s">
        <v>1362</v>
      </c>
      <c r="B254" s="2">
        <v>42114</v>
      </c>
      <c r="C254">
        <v>2015</v>
      </c>
      <c r="D254" s="1" t="s">
        <v>42</v>
      </c>
      <c r="E254" s="1" t="s">
        <v>1111</v>
      </c>
      <c r="F254" s="1" t="s">
        <v>19</v>
      </c>
      <c r="G254" s="1" t="s">
        <v>623</v>
      </c>
      <c r="H254" s="1" t="s">
        <v>1359</v>
      </c>
      <c r="I254" s="1" t="s">
        <v>1363</v>
      </c>
      <c r="J254" s="1" t="s">
        <v>1364</v>
      </c>
      <c r="K254" s="1" t="s">
        <v>1365</v>
      </c>
      <c r="L254">
        <v>29000000</v>
      </c>
      <c r="M254">
        <v>287100000</v>
      </c>
      <c r="N254">
        <v>258100000</v>
      </c>
      <c r="O254">
        <v>890</v>
      </c>
      <c r="P254" t="s">
        <v>23</v>
      </c>
    </row>
    <row r="255" spans="1:16" x14ac:dyDescent="0.3">
      <c r="A255" s="1" t="s">
        <v>1366</v>
      </c>
      <c r="B255" s="2">
        <v>42209</v>
      </c>
      <c r="C255">
        <v>2015</v>
      </c>
      <c r="D255" s="1" t="s">
        <v>42</v>
      </c>
      <c r="E255" s="1" t="s">
        <v>1367</v>
      </c>
      <c r="F255" s="1" t="s">
        <v>19</v>
      </c>
      <c r="G255" s="1" t="s">
        <v>323</v>
      </c>
      <c r="H255" s="1" t="s">
        <v>791</v>
      </c>
      <c r="I255" s="1" t="s">
        <v>972</v>
      </c>
      <c r="J255" s="1" t="s">
        <v>1368</v>
      </c>
      <c r="K255" s="1" t="s">
        <v>1369</v>
      </c>
      <c r="L255">
        <v>129000000</v>
      </c>
      <c r="M255">
        <v>244900000</v>
      </c>
      <c r="N255">
        <v>115900000</v>
      </c>
      <c r="O255">
        <v>89.84</v>
      </c>
      <c r="P255" t="s">
        <v>32</v>
      </c>
    </row>
    <row r="256" spans="1:16" x14ac:dyDescent="0.3">
      <c r="A256" s="1" t="s">
        <v>1370</v>
      </c>
      <c r="B256" s="2">
        <v>42363</v>
      </c>
      <c r="C256">
        <v>2015</v>
      </c>
      <c r="D256" s="1" t="s">
        <v>25</v>
      </c>
      <c r="E256" s="1" t="s">
        <v>1371</v>
      </c>
      <c r="F256" s="1" t="s">
        <v>19</v>
      </c>
      <c r="G256" s="1" t="s">
        <v>1372</v>
      </c>
      <c r="H256" s="1" t="s">
        <v>1373</v>
      </c>
      <c r="I256" s="1" t="s">
        <v>1252</v>
      </c>
      <c r="J256" s="1" t="s">
        <v>1049</v>
      </c>
      <c r="K256" s="1" t="s">
        <v>19</v>
      </c>
      <c r="L256">
        <v>105000000</v>
      </c>
      <c r="M256">
        <v>133700000</v>
      </c>
      <c r="N256">
        <v>28700000</v>
      </c>
      <c r="O256">
        <v>27.33</v>
      </c>
      <c r="P256" t="s">
        <v>32</v>
      </c>
    </row>
    <row r="257" spans="1:16" x14ac:dyDescent="0.3">
      <c r="A257" s="1" t="s">
        <v>1374</v>
      </c>
      <c r="B257" s="2">
        <v>42264</v>
      </c>
      <c r="C257">
        <v>2015</v>
      </c>
      <c r="D257" s="1" t="s">
        <v>25</v>
      </c>
      <c r="E257" s="1" t="s">
        <v>1375</v>
      </c>
      <c r="F257" s="1" t="s">
        <v>19</v>
      </c>
      <c r="G257" s="1" t="s">
        <v>1376</v>
      </c>
      <c r="H257" s="1" t="s">
        <v>1377</v>
      </c>
      <c r="I257" s="1" t="s">
        <v>1378</v>
      </c>
      <c r="J257" s="1" t="s">
        <v>1379</v>
      </c>
      <c r="K257" s="1" t="s">
        <v>1380</v>
      </c>
      <c r="L257">
        <v>2400000</v>
      </c>
      <c r="M257">
        <v>17300000</v>
      </c>
      <c r="N257">
        <v>14900000</v>
      </c>
      <c r="O257">
        <v>620.83000000000004</v>
      </c>
      <c r="P257" t="s">
        <v>23</v>
      </c>
    </row>
    <row r="258" spans="1:16" x14ac:dyDescent="0.3">
      <c r="A258" s="1" t="s">
        <v>1381</v>
      </c>
      <c r="B258" s="2">
        <v>42146</v>
      </c>
      <c r="C258">
        <v>2015</v>
      </c>
      <c r="D258" s="1" t="s">
        <v>138</v>
      </c>
      <c r="E258" s="1" t="s">
        <v>1382</v>
      </c>
      <c r="F258" s="1" t="s">
        <v>19</v>
      </c>
      <c r="G258" s="1" t="s">
        <v>1383</v>
      </c>
      <c r="H258" s="1" t="s">
        <v>1384</v>
      </c>
      <c r="I258" s="1" t="s">
        <v>997</v>
      </c>
      <c r="J258" s="1" t="s">
        <v>1385</v>
      </c>
      <c r="K258" s="1" t="s">
        <v>1386</v>
      </c>
      <c r="L258">
        <v>35000000</v>
      </c>
      <c r="M258">
        <v>95400000</v>
      </c>
      <c r="N258">
        <v>60400000</v>
      </c>
      <c r="O258">
        <v>172.57</v>
      </c>
      <c r="P258" t="s">
        <v>40</v>
      </c>
    </row>
    <row r="259" spans="1:16" x14ac:dyDescent="0.3">
      <c r="A259" s="1" t="s">
        <v>1387</v>
      </c>
      <c r="B259" s="2">
        <v>41688</v>
      </c>
      <c r="C259">
        <v>2014</v>
      </c>
      <c r="D259" s="1" t="s">
        <v>25</v>
      </c>
      <c r="E259" s="1" t="s">
        <v>1388</v>
      </c>
      <c r="F259" s="1" t="s">
        <v>19</v>
      </c>
      <c r="G259" s="1" t="s">
        <v>1389</v>
      </c>
      <c r="H259" s="1" t="s">
        <v>1390</v>
      </c>
      <c r="I259" s="1" t="s">
        <v>1384</v>
      </c>
      <c r="J259" s="1" t="s">
        <v>1391</v>
      </c>
      <c r="K259" s="1" t="s">
        <v>1392</v>
      </c>
      <c r="L259">
        <v>80000000</v>
      </c>
      <c r="M259">
        <v>117800000</v>
      </c>
      <c r="N259">
        <v>37800000</v>
      </c>
      <c r="O259">
        <v>47.25</v>
      </c>
      <c r="P259" t="s">
        <v>32</v>
      </c>
    </row>
    <row r="260" spans="1:16" x14ac:dyDescent="0.3">
      <c r="A260" s="1" t="s">
        <v>1393</v>
      </c>
      <c r="B260" s="2">
        <v>42524</v>
      </c>
      <c r="C260">
        <v>2016</v>
      </c>
      <c r="D260" s="1" t="s">
        <v>42</v>
      </c>
      <c r="E260" s="1" t="s">
        <v>1394</v>
      </c>
      <c r="F260" s="1" t="s">
        <v>1395</v>
      </c>
      <c r="G260" s="1" t="s">
        <v>1394</v>
      </c>
      <c r="H260" s="1" t="s">
        <v>1395</v>
      </c>
      <c r="I260" s="1" t="s">
        <v>1396</v>
      </c>
      <c r="J260" s="1" t="s">
        <v>19</v>
      </c>
      <c r="K260" s="1" t="s">
        <v>19</v>
      </c>
      <c r="L260">
        <v>20000000</v>
      </c>
      <c r="M260">
        <v>9500000</v>
      </c>
      <c r="N260">
        <v>-10500000</v>
      </c>
      <c r="O260">
        <v>-52.5</v>
      </c>
      <c r="P260" t="s">
        <v>72</v>
      </c>
    </row>
    <row r="261" spans="1:16" x14ac:dyDescent="0.3">
      <c r="A261" s="1" t="s">
        <v>1397</v>
      </c>
      <c r="B261" s="2">
        <v>41145</v>
      </c>
      <c r="C261">
        <v>2012</v>
      </c>
      <c r="D261" s="1" t="s">
        <v>25</v>
      </c>
      <c r="E261" s="1" t="s">
        <v>937</v>
      </c>
      <c r="F261" s="1" t="s">
        <v>19</v>
      </c>
      <c r="G261" s="1" t="s">
        <v>1057</v>
      </c>
      <c r="H261" s="1" t="s">
        <v>1106</v>
      </c>
      <c r="I261" s="1" t="s">
        <v>1398</v>
      </c>
      <c r="J261" s="1" t="s">
        <v>1399</v>
      </c>
      <c r="K261" s="1" t="s">
        <v>1400</v>
      </c>
      <c r="L261">
        <v>35000000</v>
      </c>
      <c r="M261">
        <v>31100000</v>
      </c>
      <c r="N261">
        <v>-3900000</v>
      </c>
      <c r="O261">
        <v>-11.14</v>
      </c>
      <c r="P261" t="s">
        <v>72</v>
      </c>
    </row>
    <row r="262" spans="1:16" x14ac:dyDescent="0.3">
      <c r="A262" s="1" t="s">
        <v>1401</v>
      </c>
      <c r="B262" s="2">
        <v>42405</v>
      </c>
      <c r="C262">
        <v>2016</v>
      </c>
      <c r="D262" s="1" t="s">
        <v>42</v>
      </c>
      <c r="E262" s="1" t="s">
        <v>1402</v>
      </c>
      <c r="F262" s="1" t="s">
        <v>19</v>
      </c>
      <c r="G262" s="1" t="s">
        <v>1403</v>
      </c>
      <c r="H262" s="1" t="s">
        <v>1404</v>
      </c>
      <c r="I262" s="1" t="s">
        <v>1405</v>
      </c>
      <c r="J262" s="1" t="s">
        <v>57</v>
      </c>
      <c r="K262" s="1" t="s">
        <v>1133</v>
      </c>
      <c r="L262">
        <v>28000000</v>
      </c>
      <c r="M262">
        <v>16400000</v>
      </c>
      <c r="N262">
        <v>-11600000</v>
      </c>
      <c r="O262">
        <v>-41.43</v>
      </c>
      <c r="P262" t="s">
        <v>72</v>
      </c>
    </row>
    <row r="263" spans="1:16" x14ac:dyDescent="0.3">
      <c r="A263" s="1" t="s">
        <v>1406</v>
      </c>
      <c r="B263" s="2">
        <v>41537</v>
      </c>
      <c r="C263">
        <v>2013</v>
      </c>
      <c r="D263" s="1" t="s">
        <v>125</v>
      </c>
      <c r="E263" s="1" t="s">
        <v>1407</v>
      </c>
      <c r="F263" s="1" t="s">
        <v>19</v>
      </c>
      <c r="G263" s="1" t="s">
        <v>622</v>
      </c>
      <c r="H263" s="1" t="s">
        <v>406</v>
      </c>
      <c r="I263" s="1" t="s">
        <v>1078</v>
      </c>
      <c r="J263" s="1" t="s">
        <v>1408</v>
      </c>
      <c r="K263" s="1" t="s">
        <v>281</v>
      </c>
      <c r="L263">
        <v>46000000</v>
      </c>
      <c r="M263">
        <v>122100000</v>
      </c>
      <c r="N263">
        <v>76100000</v>
      </c>
      <c r="O263">
        <v>165.43</v>
      </c>
      <c r="P263" t="s">
        <v>40</v>
      </c>
    </row>
    <row r="264" spans="1:16" x14ac:dyDescent="0.3">
      <c r="A264" s="1" t="s">
        <v>1409</v>
      </c>
      <c r="B264" s="2">
        <v>42034</v>
      </c>
      <c r="C264">
        <v>2015</v>
      </c>
      <c r="D264" s="1" t="s">
        <v>145</v>
      </c>
      <c r="E264" s="1" t="s">
        <v>1410</v>
      </c>
      <c r="F264" s="1" t="s">
        <v>19</v>
      </c>
      <c r="G264" s="1" t="s">
        <v>411</v>
      </c>
      <c r="H264" s="1" t="s">
        <v>1411</v>
      </c>
      <c r="I264" s="1" t="s">
        <v>19</v>
      </c>
      <c r="J264" s="1" t="s">
        <v>19</v>
      </c>
      <c r="K264" s="1" t="s">
        <v>19</v>
      </c>
      <c r="L264">
        <v>12000000</v>
      </c>
      <c r="M264">
        <v>33200000</v>
      </c>
      <c r="N264">
        <v>21200000</v>
      </c>
      <c r="O264">
        <v>176.67</v>
      </c>
      <c r="P264" t="s">
        <v>40</v>
      </c>
    </row>
    <row r="265" spans="1:16" x14ac:dyDescent="0.3">
      <c r="A265" s="1" t="s">
        <v>1412</v>
      </c>
      <c r="B265" s="2">
        <v>40970</v>
      </c>
      <c r="C265">
        <v>2012</v>
      </c>
      <c r="D265" s="1" t="s">
        <v>42</v>
      </c>
      <c r="E265" s="1" t="s">
        <v>192</v>
      </c>
      <c r="F265" s="1" t="s">
        <v>19</v>
      </c>
      <c r="G265" s="1" t="s">
        <v>665</v>
      </c>
      <c r="H265" s="1" t="s">
        <v>1413</v>
      </c>
      <c r="I265" s="1" t="s">
        <v>1414</v>
      </c>
      <c r="J265" s="1" t="s">
        <v>1415</v>
      </c>
      <c r="K265" s="1" t="s">
        <v>704</v>
      </c>
      <c r="L265">
        <v>12000000</v>
      </c>
      <c r="M265">
        <v>102700000</v>
      </c>
      <c r="N265">
        <v>90700000</v>
      </c>
      <c r="O265">
        <v>755.83</v>
      </c>
      <c r="P265" t="s">
        <v>23</v>
      </c>
    </row>
    <row r="266" spans="1:16" x14ac:dyDescent="0.3">
      <c r="A266" s="1" t="s">
        <v>1416</v>
      </c>
      <c r="B266" s="2">
        <v>41068</v>
      </c>
      <c r="C266">
        <v>2012</v>
      </c>
      <c r="D266" s="1" t="s">
        <v>145</v>
      </c>
      <c r="E266" s="1" t="s">
        <v>1417</v>
      </c>
      <c r="F266" s="1" t="s">
        <v>19</v>
      </c>
      <c r="G266" s="1" t="s">
        <v>430</v>
      </c>
      <c r="H266" s="1" t="s">
        <v>1418</v>
      </c>
      <c r="I266" s="1" t="s">
        <v>1013</v>
      </c>
      <c r="J266" s="1" t="s">
        <v>741</v>
      </c>
      <c r="K266" s="1" t="s">
        <v>1067</v>
      </c>
      <c r="L266">
        <v>130000000</v>
      </c>
      <c r="M266">
        <v>403400000</v>
      </c>
      <c r="N266">
        <v>273400000</v>
      </c>
      <c r="O266">
        <v>210.31</v>
      </c>
      <c r="P266" t="s">
        <v>40</v>
      </c>
    </row>
    <row r="267" spans="1:16" x14ac:dyDescent="0.3">
      <c r="A267" s="1" t="s">
        <v>1419</v>
      </c>
      <c r="B267" s="2">
        <v>41271</v>
      </c>
      <c r="C267">
        <v>2012</v>
      </c>
      <c r="D267" s="1" t="s">
        <v>74</v>
      </c>
      <c r="E267" s="1" t="s">
        <v>1420</v>
      </c>
      <c r="F267" s="1" t="s">
        <v>19</v>
      </c>
      <c r="G267" s="1" t="s">
        <v>611</v>
      </c>
      <c r="H267" s="1" t="s">
        <v>28</v>
      </c>
      <c r="I267" s="1" t="s">
        <v>997</v>
      </c>
      <c r="J267" s="1" t="s">
        <v>1421</v>
      </c>
      <c r="K267" s="1" t="s">
        <v>19</v>
      </c>
      <c r="L267">
        <v>15000000</v>
      </c>
      <c r="M267">
        <v>8100000</v>
      </c>
      <c r="N267">
        <v>-6900000</v>
      </c>
      <c r="O267">
        <v>-46</v>
      </c>
      <c r="P267" t="s">
        <v>72</v>
      </c>
    </row>
    <row r="268" spans="1:16" x14ac:dyDescent="0.3">
      <c r="A268" s="1" t="s">
        <v>1422</v>
      </c>
      <c r="B268" s="2">
        <v>41474</v>
      </c>
      <c r="C268">
        <v>2013</v>
      </c>
      <c r="D268" s="1" t="s">
        <v>25</v>
      </c>
      <c r="E268" s="1" t="s">
        <v>1423</v>
      </c>
      <c r="F268" s="1" t="s">
        <v>19</v>
      </c>
      <c r="G268" s="1" t="s">
        <v>504</v>
      </c>
      <c r="H268" s="1" t="s">
        <v>1424</v>
      </c>
      <c r="I268" s="1" t="s">
        <v>1425</v>
      </c>
      <c r="J268" s="1" t="s">
        <v>1426</v>
      </c>
      <c r="K268" s="1" t="s">
        <v>1427</v>
      </c>
      <c r="L268">
        <v>130000000</v>
      </c>
      <c r="M268">
        <v>78300000</v>
      </c>
      <c r="N268">
        <v>-51700000</v>
      </c>
      <c r="O268">
        <v>-39.770000000000003</v>
      </c>
      <c r="P268" t="s">
        <v>72</v>
      </c>
    </row>
    <row r="269" spans="1:16" x14ac:dyDescent="0.3">
      <c r="A269" s="1" t="s">
        <v>1428</v>
      </c>
      <c r="B269" s="2">
        <v>42419</v>
      </c>
      <c r="C269">
        <v>2016</v>
      </c>
      <c r="D269" s="1" t="s">
        <v>74</v>
      </c>
      <c r="E269" s="1" t="s">
        <v>1429</v>
      </c>
      <c r="F269" s="1" t="s">
        <v>19</v>
      </c>
      <c r="G269" s="1" t="s">
        <v>1430</v>
      </c>
      <c r="H269" s="1" t="s">
        <v>642</v>
      </c>
      <c r="I269" s="1" t="s">
        <v>284</v>
      </c>
      <c r="J269" s="1" t="s">
        <v>1431</v>
      </c>
      <c r="K269" s="1" t="s">
        <v>1432</v>
      </c>
      <c r="L269">
        <v>5000000</v>
      </c>
      <c r="M269">
        <v>23500000</v>
      </c>
      <c r="N269">
        <v>18500000</v>
      </c>
      <c r="O269">
        <v>370</v>
      </c>
      <c r="P269" t="s">
        <v>23</v>
      </c>
    </row>
    <row r="270" spans="1:16" x14ac:dyDescent="0.3">
      <c r="A270" s="1" t="s">
        <v>1433</v>
      </c>
      <c r="B270" s="2">
        <v>41159</v>
      </c>
      <c r="C270">
        <v>2012</v>
      </c>
      <c r="D270" s="1" t="s">
        <v>25</v>
      </c>
      <c r="E270" s="1" t="s">
        <v>343</v>
      </c>
      <c r="F270" s="1" t="s">
        <v>19</v>
      </c>
      <c r="G270" s="1" t="s">
        <v>61</v>
      </c>
      <c r="H270" s="1" t="s">
        <v>1434</v>
      </c>
      <c r="I270" s="1" t="s">
        <v>1435</v>
      </c>
      <c r="J270" s="1" t="s">
        <v>1436</v>
      </c>
      <c r="K270" s="1" t="s">
        <v>1437</v>
      </c>
      <c r="L270">
        <v>18000000</v>
      </c>
      <c r="M270">
        <v>389900000</v>
      </c>
      <c r="N270">
        <v>371900000</v>
      </c>
      <c r="O270">
        <v>2066.11</v>
      </c>
      <c r="P270" t="s">
        <v>23</v>
      </c>
    </row>
    <row r="271" spans="1:16" x14ac:dyDescent="0.3">
      <c r="A271" s="1" t="s">
        <v>1438</v>
      </c>
      <c r="B271" s="2">
        <v>42139</v>
      </c>
      <c r="C271">
        <v>2015</v>
      </c>
      <c r="D271" s="1" t="s">
        <v>74</v>
      </c>
      <c r="E271" s="1" t="s">
        <v>1439</v>
      </c>
      <c r="F271" s="1" t="s">
        <v>19</v>
      </c>
      <c r="G271" s="1" t="s">
        <v>1440</v>
      </c>
      <c r="H271" s="1" t="s">
        <v>19</v>
      </c>
      <c r="I271" s="1" t="s">
        <v>19</v>
      </c>
      <c r="J271" s="1" t="s">
        <v>19</v>
      </c>
      <c r="K271" s="1" t="s">
        <v>19</v>
      </c>
      <c r="L271">
        <v>1750000</v>
      </c>
      <c r="M271">
        <v>1740000</v>
      </c>
      <c r="N271">
        <v>-10000</v>
      </c>
      <c r="O271">
        <v>-0.56999999999999995</v>
      </c>
      <c r="P271" t="s">
        <v>72</v>
      </c>
    </row>
    <row r="272" spans="1:16" x14ac:dyDescent="0.3">
      <c r="A272" s="1" t="s">
        <v>1441</v>
      </c>
      <c r="B272" s="2">
        <v>42489</v>
      </c>
      <c r="C272">
        <v>2016</v>
      </c>
      <c r="D272" s="1" t="s">
        <v>145</v>
      </c>
      <c r="E272" s="1" t="s">
        <v>1442</v>
      </c>
      <c r="F272" s="1" t="s">
        <v>1443</v>
      </c>
      <c r="G272" s="1" t="s">
        <v>1444</v>
      </c>
      <c r="H272" s="1" t="s">
        <v>21</v>
      </c>
      <c r="I272" s="1" t="s">
        <v>178</v>
      </c>
      <c r="J272" s="1" t="s">
        <v>398</v>
      </c>
      <c r="K272" s="1" t="s">
        <v>1445</v>
      </c>
      <c r="L272">
        <v>20000000</v>
      </c>
      <c r="M272">
        <v>12800000</v>
      </c>
      <c r="N272">
        <v>-7200000</v>
      </c>
      <c r="O272">
        <v>-36</v>
      </c>
      <c r="P272" t="s">
        <v>72</v>
      </c>
    </row>
    <row r="273" spans="1:16" x14ac:dyDescent="0.3">
      <c r="A273" s="1" t="s">
        <v>1446</v>
      </c>
      <c r="B273" s="2">
        <v>41474</v>
      </c>
      <c r="C273">
        <v>2013</v>
      </c>
      <c r="D273" s="1" t="s">
        <v>25</v>
      </c>
      <c r="E273" s="1" t="s">
        <v>1447</v>
      </c>
      <c r="F273" s="1" t="s">
        <v>19</v>
      </c>
      <c r="G273" s="1" t="s">
        <v>82</v>
      </c>
      <c r="H273" s="1" t="s">
        <v>399</v>
      </c>
      <c r="I273" s="1" t="s">
        <v>661</v>
      </c>
      <c r="J273" s="1" t="s">
        <v>1427</v>
      </c>
      <c r="K273" s="1" t="s">
        <v>1448</v>
      </c>
      <c r="L273">
        <v>84000000</v>
      </c>
      <c r="M273">
        <v>148100000</v>
      </c>
      <c r="N273">
        <v>64100000</v>
      </c>
      <c r="O273">
        <v>76.31</v>
      </c>
      <c r="P273" t="s">
        <v>32</v>
      </c>
    </row>
    <row r="274" spans="1:16" x14ac:dyDescent="0.3">
      <c r="A274" s="1" t="s">
        <v>1449</v>
      </c>
      <c r="B274" s="2">
        <v>41234</v>
      </c>
      <c r="C274">
        <v>2012</v>
      </c>
      <c r="D274" s="1" t="s">
        <v>25</v>
      </c>
      <c r="E274" s="1" t="s">
        <v>1450</v>
      </c>
      <c r="F274" s="1" t="s">
        <v>19</v>
      </c>
      <c r="G274" s="1" t="s">
        <v>1451</v>
      </c>
      <c r="H274" s="1" t="s">
        <v>317</v>
      </c>
      <c r="I274" s="1" t="s">
        <v>266</v>
      </c>
      <c r="J274" s="1" t="s">
        <v>1452</v>
      </c>
      <c r="K274" s="1" t="s">
        <v>640</v>
      </c>
      <c r="L274">
        <v>65000000</v>
      </c>
      <c r="M274">
        <v>48100000</v>
      </c>
      <c r="N274">
        <v>-16900000</v>
      </c>
      <c r="O274">
        <v>-26</v>
      </c>
      <c r="P274" t="s">
        <v>72</v>
      </c>
    </row>
    <row r="275" spans="1:16" x14ac:dyDescent="0.3">
      <c r="A275" s="1" t="s">
        <v>1453</v>
      </c>
      <c r="B275" s="2">
        <v>40928</v>
      </c>
      <c r="C275">
        <v>2012</v>
      </c>
      <c r="D275" s="1" t="s">
        <v>74</v>
      </c>
      <c r="E275" s="1" t="s">
        <v>1454</v>
      </c>
      <c r="F275" s="1" t="s">
        <v>19</v>
      </c>
      <c r="G275" s="1" t="s">
        <v>1455</v>
      </c>
      <c r="H275" s="1" t="s">
        <v>300</v>
      </c>
      <c r="I275" s="1" t="s">
        <v>108</v>
      </c>
      <c r="J275" s="1" t="s">
        <v>1456</v>
      </c>
      <c r="K275" s="1" t="s">
        <v>500</v>
      </c>
      <c r="L275">
        <v>58000000</v>
      </c>
      <c r="M275">
        <v>50400000</v>
      </c>
      <c r="N275">
        <v>-7600000</v>
      </c>
      <c r="O275">
        <v>-13.1</v>
      </c>
      <c r="P275" t="s">
        <v>72</v>
      </c>
    </row>
    <row r="276" spans="1:16" x14ac:dyDescent="0.3">
      <c r="A276" s="1" t="s">
        <v>1457</v>
      </c>
      <c r="B276" s="2">
        <v>41166</v>
      </c>
      <c r="C276">
        <v>2012</v>
      </c>
      <c r="D276" s="1" t="s">
        <v>25</v>
      </c>
      <c r="E276" s="1" t="s">
        <v>1388</v>
      </c>
      <c r="F276" s="1" t="s">
        <v>19</v>
      </c>
      <c r="G276" s="1" t="s">
        <v>1458</v>
      </c>
      <c r="H276" s="1" t="s">
        <v>1459</v>
      </c>
      <c r="I276" s="1" t="s">
        <v>1460</v>
      </c>
      <c r="J276" s="1" t="s">
        <v>1461</v>
      </c>
      <c r="K276" s="1" t="s">
        <v>670</v>
      </c>
      <c r="L276">
        <v>65000000</v>
      </c>
      <c r="M276">
        <v>240200000</v>
      </c>
      <c r="N276">
        <v>175200000</v>
      </c>
      <c r="O276">
        <v>269.54000000000002</v>
      </c>
      <c r="P276" t="s">
        <v>40</v>
      </c>
    </row>
    <row r="277" spans="1:16" x14ac:dyDescent="0.3">
      <c r="A277" s="1" t="s">
        <v>1462</v>
      </c>
      <c r="B277" s="2">
        <v>42223</v>
      </c>
      <c r="C277">
        <v>2015</v>
      </c>
      <c r="D277" s="1" t="s">
        <v>42</v>
      </c>
      <c r="E277" s="1" t="s">
        <v>1463</v>
      </c>
      <c r="F277" s="1" t="s">
        <v>19</v>
      </c>
      <c r="G277" s="1" t="s">
        <v>679</v>
      </c>
      <c r="H277" s="1" t="s">
        <v>1464</v>
      </c>
      <c r="I277" s="1" t="s">
        <v>1465</v>
      </c>
      <c r="J277" s="1" t="s">
        <v>1466</v>
      </c>
      <c r="K277" s="1" t="s">
        <v>378</v>
      </c>
      <c r="L277">
        <v>18000000</v>
      </c>
      <c r="M277">
        <v>41300000</v>
      </c>
      <c r="N277">
        <v>23300000</v>
      </c>
      <c r="O277">
        <v>129.44</v>
      </c>
      <c r="P277" t="s">
        <v>40</v>
      </c>
    </row>
    <row r="278" spans="1:16" x14ac:dyDescent="0.3">
      <c r="A278" s="1" t="s">
        <v>1467</v>
      </c>
      <c r="B278" s="2">
        <v>41523</v>
      </c>
      <c r="C278">
        <v>2013</v>
      </c>
      <c r="D278" s="1" t="s">
        <v>25</v>
      </c>
      <c r="E278" s="1" t="s">
        <v>1468</v>
      </c>
      <c r="F278" s="1" t="s">
        <v>19</v>
      </c>
      <c r="G278" s="1" t="s">
        <v>669</v>
      </c>
      <c r="H278" s="1" t="s">
        <v>1469</v>
      </c>
      <c r="I278" s="1" t="s">
        <v>1470</v>
      </c>
      <c r="J278" s="1" t="s">
        <v>1471</v>
      </c>
      <c r="K278" s="1" t="s">
        <v>1472</v>
      </c>
      <c r="L278">
        <v>40000000</v>
      </c>
      <c r="M278">
        <v>100300000</v>
      </c>
      <c r="N278">
        <v>60300000</v>
      </c>
      <c r="O278">
        <v>150.75</v>
      </c>
      <c r="P278" t="s">
        <v>40</v>
      </c>
    </row>
    <row r="279" spans="1:16" x14ac:dyDescent="0.3">
      <c r="A279" s="1" t="s">
        <v>1473</v>
      </c>
      <c r="B279" s="2">
        <v>41656</v>
      </c>
      <c r="C279">
        <v>2014</v>
      </c>
      <c r="D279" s="1" t="s">
        <v>25</v>
      </c>
      <c r="E279" s="1" t="s">
        <v>1474</v>
      </c>
      <c r="F279" s="1" t="s">
        <v>19</v>
      </c>
      <c r="G279" s="1" t="s">
        <v>47</v>
      </c>
      <c r="H279" s="1" t="s">
        <v>394</v>
      </c>
      <c r="I279" s="1" t="s">
        <v>197</v>
      </c>
      <c r="J279" s="1" t="s">
        <v>1475</v>
      </c>
      <c r="K279" s="1" t="s">
        <v>730</v>
      </c>
      <c r="L279">
        <v>25000000</v>
      </c>
      <c r="M279">
        <v>154500000</v>
      </c>
      <c r="N279">
        <v>129500000</v>
      </c>
      <c r="O279">
        <v>518</v>
      </c>
      <c r="P279" t="s">
        <v>23</v>
      </c>
    </row>
    <row r="280" spans="1:16" x14ac:dyDescent="0.3">
      <c r="A280" s="1" t="s">
        <v>1476</v>
      </c>
      <c r="B280" s="2">
        <v>42384</v>
      </c>
      <c r="C280">
        <v>2016</v>
      </c>
      <c r="D280" s="1" t="s">
        <v>42</v>
      </c>
      <c r="E280" s="1" t="s">
        <v>1474</v>
      </c>
      <c r="F280" s="1" t="s">
        <v>19</v>
      </c>
      <c r="G280" s="1" t="s">
        <v>47</v>
      </c>
      <c r="H280" s="1" t="s">
        <v>394</v>
      </c>
      <c r="I280" s="1" t="s">
        <v>1477</v>
      </c>
      <c r="J280" s="1" t="s">
        <v>517</v>
      </c>
      <c r="K280" s="1" t="s">
        <v>1303</v>
      </c>
      <c r="L280">
        <v>40000000</v>
      </c>
      <c r="M280">
        <v>124200000</v>
      </c>
      <c r="N280">
        <v>84200000</v>
      </c>
      <c r="O280">
        <v>210.5</v>
      </c>
      <c r="P280" t="s">
        <v>40</v>
      </c>
    </row>
    <row r="281" spans="1:16" x14ac:dyDescent="0.3">
      <c r="A281" s="1" t="s">
        <v>1478</v>
      </c>
      <c r="B281" s="2">
        <v>41718</v>
      </c>
      <c r="C281">
        <v>2014</v>
      </c>
      <c r="D281" s="1" t="s">
        <v>445</v>
      </c>
      <c r="E281" s="1" t="s">
        <v>1479</v>
      </c>
      <c r="F281" s="1" t="s">
        <v>19</v>
      </c>
      <c r="G281" s="1" t="s">
        <v>193</v>
      </c>
      <c r="H281" s="1" t="s">
        <v>913</v>
      </c>
      <c r="I281" s="1" t="s">
        <v>1480</v>
      </c>
      <c r="J281" s="1" t="s">
        <v>1481</v>
      </c>
      <c r="K281" s="1" t="s">
        <v>1142</v>
      </c>
      <c r="L281">
        <v>103000000</v>
      </c>
      <c r="M281">
        <v>500100000</v>
      </c>
      <c r="N281">
        <v>397100000</v>
      </c>
      <c r="O281">
        <v>385.53</v>
      </c>
      <c r="P281" t="s">
        <v>23</v>
      </c>
    </row>
    <row r="282" spans="1:16" x14ac:dyDescent="0.3">
      <c r="A282" s="1" t="s">
        <v>1482</v>
      </c>
      <c r="B282" s="2">
        <v>41234</v>
      </c>
      <c r="C282">
        <v>2012</v>
      </c>
      <c r="D282" s="1" t="s">
        <v>132</v>
      </c>
      <c r="E282" s="1" t="s">
        <v>1483</v>
      </c>
      <c r="F282" s="1" t="s">
        <v>19</v>
      </c>
      <c r="G282" s="1" t="s">
        <v>941</v>
      </c>
      <c r="H282" s="1" t="s">
        <v>170</v>
      </c>
      <c r="I282" s="1" t="s">
        <v>406</v>
      </c>
      <c r="J282" s="1" t="s">
        <v>1260</v>
      </c>
      <c r="K282" s="1" t="s">
        <v>1484</v>
      </c>
      <c r="L282">
        <v>145000000</v>
      </c>
      <c r="M282">
        <v>306900000</v>
      </c>
      <c r="N282">
        <v>161900000</v>
      </c>
      <c r="O282">
        <v>111.66</v>
      </c>
      <c r="P282" t="s">
        <v>40</v>
      </c>
    </row>
    <row r="283" spans="1:16" x14ac:dyDescent="0.3">
      <c r="A283" s="1" t="s">
        <v>1485</v>
      </c>
      <c r="B283" s="2">
        <v>42419</v>
      </c>
      <c r="C283">
        <v>2016</v>
      </c>
      <c r="D283" s="1" t="s">
        <v>74</v>
      </c>
      <c r="E283" s="1" t="s">
        <v>1486</v>
      </c>
      <c r="F283" s="1" t="s">
        <v>19</v>
      </c>
      <c r="G283" s="1" t="s">
        <v>1487</v>
      </c>
      <c r="H283" s="1" t="s">
        <v>1488</v>
      </c>
      <c r="I283" s="1" t="s">
        <v>121</v>
      </c>
      <c r="J283" s="1" t="s">
        <v>19</v>
      </c>
      <c r="K283" s="1" t="s">
        <v>19</v>
      </c>
      <c r="L283">
        <v>20000000</v>
      </c>
      <c r="M283">
        <v>46100000</v>
      </c>
      <c r="N283">
        <v>26100000</v>
      </c>
      <c r="O283">
        <v>130.5</v>
      </c>
      <c r="P283" t="s">
        <v>40</v>
      </c>
    </row>
    <row r="284" spans="1:16" x14ac:dyDescent="0.3">
      <c r="A284" s="1" t="s">
        <v>1489</v>
      </c>
      <c r="B284" s="2">
        <v>41669</v>
      </c>
      <c r="C284">
        <v>2014</v>
      </c>
      <c r="D284" s="1" t="s">
        <v>25</v>
      </c>
      <c r="E284" s="1" t="s">
        <v>1490</v>
      </c>
      <c r="F284" s="1" t="s">
        <v>19</v>
      </c>
      <c r="G284" s="1" t="s">
        <v>429</v>
      </c>
      <c r="H284" s="1" t="s">
        <v>428</v>
      </c>
      <c r="I284" s="1" t="s">
        <v>1210</v>
      </c>
      <c r="J284" s="1" t="s">
        <v>552</v>
      </c>
      <c r="K284" s="1" t="s">
        <v>487</v>
      </c>
      <c r="L284">
        <v>100000000</v>
      </c>
      <c r="M284">
        <v>242700000</v>
      </c>
      <c r="N284">
        <v>142700000</v>
      </c>
      <c r="O284">
        <v>142.69999999999999</v>
      </c>
      <c r="P284" t="s">
        <v>40</v>
      </c>
    </row>
    <row r="285" spans="1:16" x14ac:dyDescent="0.3">
      <c r="A285" s="1" t="s">
        <v>1491</v>
      </c>
      <c r="B285" s="2">
        <v>41138</v>
      </c>
      <c r="C285">
        <v>2012</v>
      </c>
      <c r="D285" s="1" t="s">
        <v>42</v>
      </c>
      <c r="E285" s="1" t="s">
        <v>1309</v>
      </c>
      <c r="F285" s="1" t="s">
        <v>19</v>
      </c>
      <c r="G285" s="1" t="s">
        <v>580</v>
      </c>
      <c r="H285" s="1" t="s">
        <v>956</v>
      </c>
      <c r="I285" s="1" t="s">
        <v>1492</v>
      </c>
      <c r="J285" s="1" t="s">
        <v>1493</v>
      </c>
      <c r="K285" s="1" t="s">
        <v>1340</v>
      </c>
      <c r="L285">
        <v>2500000</v>
      </c>
      <c r="M285">
        <v>4900000</v>
      </c>
      <c r="N285">
        <v>2400000</v>
      </c>
      <c r="O285">
        <v>96</v>
      </c>
      <c r="P285" t="s">
        <v>32</v>
      </c>
    </row>
    <row r="286" spans="1:16" x14ac:dyDescent="0.3">
      <c r="A286" s="1" t="s">
        <v>1494</v>
      </c>
      <c r="B286" s="2">
        <v>41075</v>
      </c>
      <c r="C286">
        <v>2012</v>
      </c>
      <c r="D286" s="1" t="s">
        <v>262</v>
      </c>
      <c r="E286" s="1" t="s">
        <v>1495</v>
      </c>
      <c r="F286" s="1" t="s">
        <v>19</v>
      </c>
      <c r="G286" s="1" t="s">
        <v>1496</v>
      </c>
      <c r="H286" s="1" t="s">
        <v>1497</v>
      </c>
      <c r="I286" s="1" t="s">
        <v>608</v>
      </c>
      <c r="J286" s="1" t="s">
        <v>170</v>
      </c>
      <c r="K286" s="1" t="s">
        <v>1498</v>
      </c>
      <c r="L286">
        <v>75000000</v>
      </c>
      <c r="M286">
        <v>59400000</v>
      </c>
      <c r="N286">
        <v>-15600000</v>
      </c>
      <c r="O286">
        <v>-20.8</v>
      </c>
      <c r="P286" t="s">
        <v>72</v>
      </c>
    </row>
    <row r="287" spans="1:16" x14ac:dyDescent="0.3">
      <c r="A287" s="1" t="s">
        <v>1499</v>
      </c>
      <c r="B287" s="2">
        <v>42299</v>
      </c>
      <c r="C287">
        <v>2015</v>
      </c>
      <c r="D287" s="1" t="s">
        <v>42</v>
      </c>
      <c r="E287" s="1" t="s">
        <v>1500</v>
      </c>
      <c r="F287" s="1" t="s">
        <v>19</v>
      </c>
      <c r="G287" s="1" t="s">
        <v>171</v>
      </c>
      <c r="H287" s="1" t="s">
        <v>82</v>
      </c>
      <c r="I287" s="1" t="s">
        <v>1185</v>
      </c>
      <c r="J287" s="1" t="s">
        <v>1501</v>
      </c>
      <c r="K287" s="1" t="s">
        <v>1502</v>
      </c>
      <c r="L287">
        <v>15000000</v>
      </c>
      <c r="M287">
        <v>3400000</v>
      </c>
      <c r="N287">
        <v>-11600000</v>
      </c>
      <c r="O287">
        <v>-77.33</v>
      </c>
      <c r="P287" t="s">
        <v>72</v>
      </c>
    </row>
    <row r="288" spans="1:16" x14ac:dyDescent="0.3">
      <c r="A288" s="1" t="s">
        <v>1503</v>
      </c>
      <c r="B288" s="2">
        <v>41481</v>
      </c>
      <c r="C288">
        <v>2013</v>
      </c>
      <c r="D288" s="1" t="s">
        <v>74</v>
      </c>
      <c r="E288" s="1" t="s">
        <v>1504</v>
      </c>
      <c r="F288" s="1" t="s">
        <v>19</v>
      </c>
      <c r="G288" s="1" t="s">
        <v>1363</v>
      </c>
      <c r="H288" s="1" t="s">
        <v>1505</v>
      </c>
      <c r="I288" s="1" t="s">
        <v>1506</v>
      </c>
      <c r="J288" s="1" t="s">
        <v>1507</v>
      </c>
      <c r="K288" s="1" t="s">
        <v>1508</v>
      </c>
      <c r="L288">
        <v>15000000</v>
      </c>
      <c r="M288">
        <v>3000000</v>
      </c>
      <c r="N288">
        <v>-12000000</v>
      </c>
      <c r="O288">
        <v>-80</v>
      </c>
      <c r="P288" t="s">
        <v>72</v>
      </c>
    </row>
    <row r="289" spans="1:16" x14ac:dyDescent="0.3">
      <c r="A289" s="1" t="s">
        <v>1509</v>
      </c>
      <c r="B289" s="2">
        <v>42251</v>
      </c>
      <c r="C289">
        <v>2015</v>
      </c>
      <c r="D289" s="1" t="s">
        <v>74</v>
      </c>
      <c r="E289" s="1" t="s">
        <v>1510</v>
      </c>
      <c r="F289" s="1" t="s">
        <v>19</v>
      </c>
      <c r="G289" s="1" t="s">
        <v>48</v>
      </c>
      <c r="H289" s="1" t="s">
        <v>1511</v>
      </c>
      <c r="I289" s="1" t="s">
        <v>1512</v>
      </c>
      <c r="J289" s="1" t="s">
        <v>1513</v>
      </c>
      <c r="K289" s="1" t="s">
        <v>1514</v>
      </c>
      <c r="L289">
        <v>13000000</v>
      </c>
      <c r="M289">
        <v>36000000</v>
      </c>
      <c r="N289">
        <v>23000000</v>
      </c>
      <c r="O289">
        <v>176.92</v>
      </c>
      <c r="P289" t="s">
        <v>40</v>
      </c>
    </row>
    <row r="290" spans="1:16" x14ac:dyDescent="0.3">
      <c r="A290" s="1" t="s">
        <v>1515</v>
      </c>
      <c r="B290" s="2">
        <v>42076</v>
      </c>
      <c r="C290">
        <v>2015</v>
      </c>
      <c r="D290" s="1" t="s">
        <v>25</v>
      </c>
      <c r="E290" s="1" t="s">
        <v>1254</v>
      </c>
      <c r="F290" s="1" t="s">
        <v>19</v>
      </c>
      <c r="G290" s="1" t="s">
        <v>127</v>
      </c>
      <c r="H290" s="1" t="s">
        <v>429</v>
      </c>
      <c r="I290" s="1" t="s">
        <v>1110</v>
      </c>
      <c r="J290" s="1" t="s">
        <v>19</v>
      </c>
      <c r="K290" s="1" t="s">
        <v>19</v>
      </c>
      <c r="L290">
        <v>61600000</v>
      </c>
      <c r="M290">
        <v>71700000</v>
      </c>
      <c r="N290">
        <v>10100000</v>
      </c>
      <c r="O290">
        <v>16.399999999999999</v>
      </c>
      <c r="P290" t="s">
        <v>32</v>
      </c>
    </row>
    <row r="291" spans="1:16" x14ac:dyDescent="0.3">
      <c r="A291" s="1" t="s">
        <v>1516</v>
      </c>
      <c r="B291" s="2">
        <v>41544</v>
      </c>
      <c r="C291">
        <v>2013</v>
      </c>
      <c r="D291" s="1" t="s">
        <v>125</v>
      </c>
      <c r="E291" s="1" t="s">
        <v>1517</v>
      </c>
      <c r="F291" s="1" t="s">
        <v>19</v>
      </c>
      <c r="G291" s="1" t="s">
        <v>225</v>
      </c>
      <c r="H291" s="1" t="s">
        <v>1518</v>
      </c>
      <c r="I291" s="1" t="s">
        <v>809</v>
      </c>
      <c r="J291" s="1" t="s">
        <v>142</v>
      </c>
      <c r="K291" s="1" t="s">
        <v>19</v>
      </c>
      <c r="L291">
        <v>30000000</v>
      </c>
      <c r="M291">
        <v>30000000</v>
      </c>
      <c r="N291">
        <v>0</v>
      </c>
      <c r="O291">
        <v>0</v>
      </c>
      <c r="P291" t="s">
        <v>32</v>
      </c>
    </row>
    <row r="292" spans="1:16" x14ac:dyDescent="0.3">
      <c r="A292" s="1" t="s">
        <v>1519</v>
      </c>
      <c r="B292" s="2">
        <v>41537</v>
      </c>
      <c r="C292">
        <v>2013</v>
      </c>
      <c r="D292" s="1" t="s">
        <v>25</v>
      </c>
      <c r="E292" s="1" t="s">
        <v>891</v>
      </c>
      <c r="F292" s="1" t="s">
        <v>19</v>
      </c>
      <c r="G292" s="1" t="s">
        <v>317</v>
      </c>
      <c r="H292" s="1" t="s">
        <v>1520</v>
      </c>
      <c r="I292" s="1" t="s">
        <v>1083</v>
      </c>
      <c r="J292" s="1" t="s">
        <v>1521</v>
      </c>
      <c r="K292" s="1" t="s">
        <v>19</v>
      </c>
      <c r="L292">
        <v>38000000</v>
      </c>
      <c r="M292">
        <v>90200000</v>
      </c>
      <c r="N292">
        <v>52200000</v>
      </c>
      <c r="O292">
        <v>137.37</v>
      </c>
      <c r="P292" t="s">
        <v>40</v>
      </c>
    </row>
    <row r="293" spans="1:16" x14ac:dyDescent="0.3">
      <c r="A293" s="1" t="s">
        <v>1522</v>
      </c>
      <c r="B293" s="2">
        <v>41717</v>
      </c>
      <c r="C293">
        <v>2014</v>
      </c>
      <c r="D293" s="1" t="s">
        <v>25</v>
      </c>
      <c r="E293" s="1" t="s">
        <v>621</v>
      </c>
      <c r="F293" s="1" t="s">
        <v>19</v>
      </c>
      <c r="G293" s="1" t="s">
        <v>1523</v>
      </c>
      <c r="H293" s="1" t="s">
        <v>886</v>
      </c>
      <c r="I293" s="1" t="s">
        <v>1109</v>
      </c>
      <c r="J293" s="1" t="s">
        <v>1524</v>
      </c>
      <c r="K293" s="1" t="s">
        <v>1525</v>
      </c>
      <c r="L293">
        <v>35000000</v>
      </c>
      <c r="M293">
        <v>17500000</v>
      </c>
      <c r="N293">
        <v>-17500000</v>
      </c>
      <c r="O293">
        <v>-50</v>
      </c>
      <c r="P293" t="s">
        <v>72</v>
      </c>
    </row>
    <row r="294" spans="1:16" x14ac:dyDescent="0.3">
      <c r="A294" s="1" t="s">
        <v>1526</v>
      </c>
      <c r="B294" s="2">
        <v>40949</v>
      </c>
      <c r="C294">
        <v>2012</v>
      </c>
      <c r="D294" s="1" t="s">
        <v>25</v>
      </c>
      <c r="E294" s="1" t="s">
        <v>426</v>
      </c>
      <c r="F294" s="1" t="s">
        <v>19</v>
      </c>
      <c r="G294" s="1" t="s">
        <v>36</v>
      </c>
      <c r="H294" s="1" t="s">
        <v>504</v>
      </c>
      <c r="I294" s="1" t="s">
        <v>1146</v>
      </c>
      <c r="J294" s="1" t="s">
        <v>719</v>
      </c>
      <c r="K294" s="1" t="s">
        <v>1527</v>
      </c>
      <c r="L294">
        <v>85000000</v>
      </c>
      <c r="M294">
        <v>208100000</v>
      </c>
      <c r="N294">
        <v>123100000</v>
      </c>
      <c r="O294">
        <v>144.82</v>
      </c>
      <c r="P294" t="s">
        <v>40</v>
      </c>
    </row>
    <row r="295" spans="1:16" x14ac:dyDescent="0.3">
      <c r="A295" s="1" t="s">
        <v>1528</v>
      </c>
      <c r="B295" s="2">
        <v>40977</v>
      </c>
      <c r="C295">
        <v>2012</v>
      </c>
      <c r="D295" s="1" t="s">
        <v>74</v>
      </c>
      <c r="E295" s="1" t="s">
        <v>1529</v>
      </c>
      <c r="F295" s="1" t="s">
        <v>19</v>
      </c>
      <c r="G295" s="1" t="s">
        <v>945</v>
      </c>
      <c r="H295" s="1" t="s">
        <v>609</v>
      </c>
      <c r="I295" s="1" t="s">
        <v>1530</v>
      </c>
      <c r="J295" s="1" t="s">
        <v>1531</v>
      </c>
      <c r="K295" s="1" t="s">
        <v>19</v>
      </c>
      <c r="L295">
        <v>14400000</v>
      </c>
      <c r="M295">
        <v>34600000</v>
      </c>
      <c r="N295">
        <v>20200000</v>
      </c>
      <c r="O295">
        <v>140.28</v>
      </c>
      <c r="P295" t="s">
        <v>40</v>
      </c>
    </row>
    <row r="296" spans="1:16" x14ac:dyDescent="0.3">
      <c r="A296" s="1" t="s">
        <v>1532</v>
      </c>
      <c r="B296" s="2">
        <v>41096</v>
      </c>
      <c r="C296">
        <v>2012</v>
      </c>
      <c r="D296" s="1" t="s">
        <v>125</v>
      </c>
      <c r="E296" s="1" t="s">
        <v>1533</v>
      </c>
      <c r="F296" s="1" t="s">
        <v>19</v>
      </c>
      <c r="G296" s="1" t="s">
        <v>272</v>
      </c>
      <c r="H296" s="1" t="s">
        <v>1534</v>
      </c>
      <c r="I296" s="1" t="s">
        <v>1535</v>
      </c>
      <c r="J296" s="1" t="s">
        <v>1536</v>
      </c>
      <c r="K296" s="1" t="s">
        <v>1537</v>
      </c>
      <c r="L296">
        <v>45000000</v>
      </c>
      <c r="M296">
        <v>83000000</v>
      </c>
      <c r="N296">
        <v>38000000</v>
      </c>
      <c r="O296">
        <v>84.44</v>
      </c>
      <c r="P296" t="s">
        <v>32</v>
      </c>
    </row>
    <row r="297" spans="1:16" x14ac:dyDescent="0.3">
      <c r="A297" s="1" t="s">
        <v>1538</v>
      </c>
      <c r="B297" s="2">
        <v>41376</v>
      </c>
      <c r="C297">
        <v>2013</v>
      </c>
      <c r="D297" s="1" t="s">
        <v>42</v>
      </c>
      <c r="E297" s="1" t="s">
        <v>245</v>
      </c>
      <c r="F297" s="1" t="s">
        <v>19</v>
      </c>
      <c r="G297" s="1" t="s">
        <v>1539</v>
      </c>
      <c r="H297" s="1" t="s">
        <v>1540</v>
      </c>
      <c r="I297" s="1" t="s">
        <v>1541</v>
      </c>
      <c r="J297" s="1" t="s">
        <v>1542</v>
      </c>
      <c r="K297" s="1" t="s">
        <v>326</v>
      </c>
      <c r="L297">
        <v>20000000</v>
      </c>
      <c r="M297">
        <v>78400000</v>
      </c>
      <c r="N297">
        <v>58400000</v>
      </c>
      <c r="O297">
        <v>292</v>
      </c>
      <c r="P297" t="s">
        <v>40</v>
      </c>
    </row>
    <row r="298" spans="1:16" x14ac:dyDescent="0.3">
      <c r="A298" s="1" t="s">
        <v>1543</v>
      </c>
      <c r="B298" s="2">
        <v>42328</v>
      </c>
      <c r="C298">
        <v>2015</v>
      </c>
      <c r="D298" s="1" t="s">
        <v>125</v>
      </c>
      <c r="E298" s="1" t="s">
        <v>1544</v>
      </c>
      <c r="F298" s="1" t="s">
        <v>19</v>
      </c>
      <c r="G298" s="1" t="s">
        <v>1153</v>
      </c>
      <c r="H298" s="1" t="s">
        <v>288</v>
      </c>
      <c r="I298" s="1" t="s">
        <v>1545</v>
      </c>
      <c r="J298" s="1" t="s">
        <v>1546</v>
      </c>
      <c r="K298" s="1" t="s">
        <v>19</v>
      </c>
      <c r="L298">
        <v>19500000</v>
      </c>
      <c r="M298">
        <v>32200000</v>
      </c>
      <c r="N298">
        <v>12700000</v>
      </c>
      <c r="O298">
        <v>65.13</v>
      </c>
      <c r="P298" t="s">
        <v>32</v>
      </c>
    </row>
    <row r="299" spans="1:16" x14ac:dyDescent="0.3">
      <c r="A299" s="1" t="s">
        <v>1547</v>
      </c>
      <c r="B299" s="2">
        <v>42195</v>
      </c>
      <c r="C299">
        <v>2015</v>
      </c>
      <c r="D299" s="1" t="s">
        <v>74</v>
      </c>
      <c r="E299" s="1" t="s">
        <v>1151</v>
      </c>
      <c r="F299" s="1" t="s">
        <v>19</v>
      </c>
      <c r="G299" s="1" t="s">
        <v>504</v>
      </c>
      <c r="H299" s="1" t="s">
        <v>1548</v>
      </c>
      <c r="I299" s="1" t="s">
        <v>1549</v>
      </c>
      <c r="J299" s="1" t="s">
        <v>228</v>
      </c>
      <c r="K299" s="1" t="s">
        <v>1550</v>
      </c>
      <c r="L299">
        <v>26000000</v>
      </c>
      <c r="M299">
        <v>30500000</v>
      </c>
      <c r="N299">
        <v>4500000</v>
      </c>
      <c r="O299">
        <v>17.309999999999999</v>
      </c>
      <c r="P299" t="s">
        <v>32</v>
      </c>
    </row>
    <row r="300" spans="1:16" x14ac:dyDescent="0.3">
      <c r="A300" s="1" t="s">
        <v>1551</v>
      </c>
      <c r="B300" s="2">
        <v>41998</v>
      </c>
      <c r="C300">
        <v>2014</v>
      </c>
      <c r="D300" s="1" t="s">
        <v>74</v>
      </c>
      <c r="E300" s="1" t="s">
        <v>1552</v>
      </c>
      <c r="F300" s="1" t="s">
        <v>19</v>
      </c>
      <c r="G300" s="1" t="s">
        <v>108</v>
      </c>
      <c r="H300" s="1" t="s">
        <v>1553</v>
      </c>
      <c r="I300" s="1" t="s">
        <v>1554</v>
      </c>
      <c r="J300" s="1" t="s">
        <v>1555</v>
      </c>
      <c r="K300" s="1" t="s">
        <v>19</v>
      </c>
      <c r="L300">
        <v>20000000</v>
      </c>
      <c r="M300">
        <v>66800000</v>
      </c>
      <c r="N300">
        <v>46800000</v>
      </c>
      <c r="O300">
        <v>234</v>
      </c>
      <c r="P300" t="s">
        <v>40</v>
      </c>
    </row>
    <row r="301" spans="1:16" x14ac:dyDescent="0.3">
      <c r="A301" s="1" t="s">
        <v>1556</v>
      </c>
      <c r="B301" s="2">
        <v>41990</v>
      </c>
      <c r="C301">
        <v>2014</v>
      </c>
      <c r="D301" s="1" t="s">
        <v>279</v>
      </c>
      <c r="E301" s="1" t="s">
        <v>1557</v>
      </c>
      <c r="F301" s="1" t="s">
        <v>19</v>
      </c>
      <c r="G301" s="1" t="s">
        <v>1558</v>
      </c>
      <c r="H301" s="1" t="s">
        <v>1424</v>
      </c>
      <c r="I301" s="1" t="s">
        <v>1255</v>
      </c>
      <c r="J301" s="1" t="s">
        <v>658</v>
      </c>
      <c r="K301" s="1" t="s">
        <v>1389</v>
      </c>
      <c r="L301">
        <v>95000000</v>
      </c>
      <c r="M301">
        <v>114200000</v>
      </c>
      <c r="N301">
        <v>19200000</v>
      </c>
      <c r="O301">
        <v>20.21</v>
      </c>
      <c r="P301" t="s">
        <v>32</v>
      </c>
    </row>
    <row r="302" spans="1:16" x14ac:dyDescent="0.3">
      <c r="A302" s="1" t="s">
        <v>1559</v>
      </c>
      <c r="B302" s="2">
        <v>42028</v>
      </c>
      <c r="C302">
        <v>2015</v>
      </c>
      <c r="D302" s="1" t="s">
        <v>132</v>
      </c>
      <c r="E302" s="1" t="s">
        <v>1560</v>
      </c>
      <c r="F302" s="1" t="s">
        <v>19</v>
      </c>
      <c r="G302" s="1" t="s">
        <v>1561</v>
      </c>
      <c r="H302" s="1" t="s">
        <v>1562</v>
      </c>
      <c r="I302" s="1" t="s">
        <v>19</v>
      </c>
      <c r="J302" s="1" t="s">
        <v>19</v>
      </c>
      <c r="K302" s="1" t="s">
        <v>19</v>
      </c>
      <c r="L302">
        <v>25000000</v>
      </c>
      <c r="M302">
        <v>106000000</v>
      </c>
      <c r="N302">
        <v>81000000</v>
      </c>
      <c r="O302">
        <v>324</v>
      </c>
      <c r="P302" t="s">
        <v>23</v>
      </c>
    </row>
    <row r="303" spans="1:16" x14ac:dyDescent="0.3">
      <c r="A303" s="1" t="s">
        <v>1563</v>
      </c>
      <c r="B303" s="2">
        <v>42143</v>
      </c>
      <c r="C303">
        <v>2015</v>
      </c>
      <c r="D303" s="1" t="s">
        <v>125</v>
      </c>
      <c r="E303" s="1" t="s">
        <v>1407</v>
      </c>
      <c r="F303" s="1" t="s">
        <v>19</v>
      </c>
      <c r="G303" s="1" t="s">
        <v>609</v>
      </c>
      <c r="H303" s="1" t="s">
        <v>1537</v>
      </c>
      <c r="I303" s="1" t="s">
        <v>718</v>
      </c>
      <c r="J303" s="1" t="s">
        <v>709</v>
      </c>
      <c r="K303" s="1" t="s">
        <v>19</v>
      </c>
      <c r="L303">
        <v>30000000</v>
      </c>
      <c r="M303">
        <v>84900000</v>
      </c>
      <c r="N303">
        <v>54900000</v>
      </c>
      <c r="O303">
        <v>183</v>
      </c>
      <c r="P303" t="s">
        <v>40</v>
      </c>
    </row>
    <row r="304" spans="1:16" x14ac:dyDescent="0.3">
      <c r="A304" s="1" t="s">
        <v>1564</v>
      </c>
      <c r="B304" s="2">
        <v>41313</v>
      </c>
      <c r="C304">
        <v>2013</v>
      </c>
      <c r="D304" s="1" t="s">
        <v>125</v>
      </c>
      <c r="E304" s="1" t="s">
        <v>1565</v>
      </c>
      <c r="F304" s="1" t="s">
        <v>19</v>
      </c>
      <c r="G304" s="1" t="s">
        <v>154</v>
      </c>
      <c r="H304" s="1" t="s">
        <v>1484</v>
      </c>
      <c r="I304" s="1" t="s">
        <v>46</v>
      </c>
      <c r="J304" s="1" t="s">
        <v>1448</v>
      </c>
      <c r="K304" s="1" t="s">
        <v>1566</v>
      </c>
      <c r="L304">
        <v>30000000</v>
      </c>
      <c r="M304">
        <v>66700000</v>
      </c>
      <c r="N304">
        <v>36700000</v>
      </c>
      <c r="O304">
        <v>122.33</v>
      </c>
      <c r="P304" t="s">
        <v>40</v>
      </c>
    </row>
    <row r="305" spans="1:16" x14ac:dyDescent="0.3">
      <c r="A305" s="1" t="s">
        <v>1567</v>
      </c>
      <c r="B305" s="2">
        <v>41208</v>
      </c>
      <c r="C305">
        <v>2012</v>
      </c>
      <c r="D305" s="1" t="s">
        <v>138</v>
      </c>
      <c r="E305" s="1" t="s">
        <v>1568</v>
      </c>
      <c r="F305" s="1" t="s">
        <v>19</v>
      </c>
      <c r="G305" s="1" t="s">
        <v>1244</v>
      </c>
      <c r="H305" s="1" t="s">
        <v>1569</v>
      </c>
      <c r="I305" s="1" t="s">
        <v>1570</v>
      </c>
      <c r="J305" s="1" t="s">
        <v>1389</v>
      </c>
      <c r="K305" s="1" t="s">
        <v>1392</v>
      </c>
      <c r="L305">
        <v>20000000</v>
      </c>
      <c r="M305">
        <v>52300000</v>
      </c>
      <c r="N305">
        <v>32300000</v>
      </c>
      <c r="O305">
        <v>161.5</v>
      </c>
      <c r="P305" t="s">
        <v>40</v>
      </c>
    </row>
    <row r="306" spans="1:16" x14ac:dyDescent="0.3">
      <c r="A306" s="1" t="s">
        <v>1571</v>
      </c>
      <c r="B306" s="2">
        <v>41229</v>
      </c>
      <c r="C306">
        <v>2012</v>
      </c>
      <c r="D306" s="1" t="s">
        <v>74</v>
      </c>
      <c r="E306" s="1" t="s">
        <v>985</v>
      </c>
      <c r="F306" s="1" t="s">
        <v>19</v>
      </c>
      <c r="G306" s="1" t="s">
        <v>168</v>
      </c>
      <c r="H306" s="1" t="s">
        <v>986</v>
      </c>
      <c r="I306" s="1" t="s">
        <v>1572</v>
      </c>
      <c r="J306" s="1" t="s">
        <v>802</v>
      </c>
      <c r="K306" s="1" t="s">
        <v>1100</v>
      </c>
      <c r="L306">
        <v>21000000</v>
      </c>
      <c r="M306">
        <v>236400000</v>
      </c>
      <c r="N306">
        <v>215400000</v>
      </c>
      <c r="O306">
        <v>1025.71</v>
      </c>
      <c r="P306" t="s">
        <v>23</v>
      </c>
    </row>
    <row r="307" spans="1:16" x14ac:dyDescent="0.3">
      <c r="A307" s="1" t="s">
        <v>1573</v>
      </c>
      <c r="B307" s="2">
        <v>41870</v>
      </c>
      <c r="C307">
        <v>2014</v>
      </c>
      <c r="D307" s="1" t="s">
        <v>125</v>
      </c>
      <c r="E307" s="1" t="s">
        <v>1574</v>
      </c>
      <c r="F307" s="1" t="s">
        <v>1575</v>
      </c>
      <c r="G307" s="1" t="s">
        <v>647</v>
      </c>
      <c r="H307" s="1" t="s">
        <v>1576</v>
      </c>
      <c r="I307" s="1" t="s">
        <v>718</v>
      </c>
      <c r="J307" s="1" t="s">
        <v>398</v>
      </c>
      <c r="K307" s="1" t="s">
        <v>1057</v>
      </c>
      <c r="L307">
        <v>65000000</v>
      </c>
      <c r="M307">
        <v>39400000</v>
      </c>
      <c r="N307">
        <v>-25600000</v>
      </c>
      <c r="O307">
        <v>-39.380000000000003</v>
      </c>
      <c r="P307" t="s">
        <v>72</v>
      </c>
    </row>
    <row r="308" spans="1:16" x14ac:dyDescent="0.3">
      <c r="A308" s="1" t="s">
        <v>1577</v>
      </c>
      <c r="B308" s="2">
        <v>41194</v>
      </c>
      <c r="C308">
        <v>2012</v>
      </c>
      <c r="D308" s="1" t="s">
        <v>138</v>
      </c>
      <c r="E308" s="1" t="s">
        <v>513</v>
      </c>
      <c r="F308" s="1" t="s">
        <v>19</v>
      </c>
      <c r="G308" s="1" t="s">
        <v>334</v>
      </c>
      <c r="H308" s="1" t="s">
        <v>1578</v>
      </c>
      <c r="I308" s="1" t="s">
        <v>1579</v>
      </c>
      <c r="J308" s="1" t="s">
        <v>1580</v>
      </c>
      <c r="K308" s="1" t="s">
        <v>19</v>
      </c>
      <c r="L308">
        <v>3000000</v>
      </c>
      <c r="M308">
        <v>77700000</v>
      </c>
      <c r="N308">
        <v>74700000</v>
      </c>
      <c r="O308">
        <v>2490</v>
      </c>
      <c r="P308" t="s">
        <v>23</v>
      </c>
    </row>
    <row r="309" spans="1:16" x14ac:dyDescent="0.3">
      <c r="A309" s="1" t="s">
        <v>1581</v>
      </c>
      <c r="B309" s="2">
        <v>42237</v>
      </c>
      <c r="C309">
        <v>2015</v>
      </c>
      <c r="D309" s="1" t="s">
        <v>138</v>
      </c>
      <c r="E309" s="1" t="s">
        <v>1582</v>
      </c>
      <c r="F309" s="1" t="s">
        <v>19</v>
      </c>
      <c r="G309" s="1" t="s">
        <v>1583</v>
      </c>
      <c r="H309" s="1" t="s">
        <v>1584</v>
      </c>
      <c r="I309" s="1" t="s">
        <v>19</v>
      </c>
      <c r="J309" s="1" t="s">
        <v>19</v>
      </c>
      <c r="K309" s="1" t="s">
        <v>19</v>
      </c>
      <c r="L309">
        <v>10000000</v>
      </c>
      <c r="M309">
        <v>52900000</v>
      </c>
      <c r="N309">
        <v>42900000</v>
      </c>
      <c r="O309">
        <v>429</v>
      </c>
      <c r="P309" t="s">
        <v>23</v>
      </c>
    </row>
    <row r="310" spans="1:16" x14ac:dyDescent="0.3">
      <c r="A310" s="1" t="s">
        <v>1585</v>
      </c>
      <c r="B310" s="2">
        <v>42356</v>
      </c>
      <c r="C310">
        <v>2015</v>
      </c>
      <c r="D310" s="1" t="s">
        <v>42</v>
      </c>
      <c r="E310" s="1" t="s">
        <v>1357</v>
      </c>
      <c r="F310" s="1" t="s">
        <v>19</v>
      </c>
      <c r="G310" s="1" t="s">
        <v>1586</v>
      </c>
      <c r="H310" s="1" t="s">
        <v>1587</v>
      </c>
      <c r="I310" s="1" t="s">
        <v>1588</v>
      </c>
      <c r="J310" s="1" t="s">
        <v>699</v>
      </c>
      <c r="K310" s="1" t="s">
        <v>19</v>
      </c>
      <c r="L310">
        <v>30000000</v>
      </c>
      <c r="M310">
        <v>105000000</v>
      </c>
      <c r="N310">
        <v>75000000</v>
      </c>
      <c r="O310">
        <v>250</v>
      </c>
      <c r="P310" t="s">
        <v>40</v>
      </c>
    </row>
    <row r="311" spans="1:16" x14ac:dyDescent="0.3">
      <c r="A311" s="1" t="s">
        <v>1589</v>
      </c>
      <c r="B311" s="2">
        <v>41327</v>
      </c>
      <c r="C311">
        <v>2013</v>
      </c>
      <c r="D311" s="1" t="s">
        <v>25</v>
      </c>
      <c r="E311" s="1" t="s">
        <v>1590</v>
      </c>
      <c r="F311" s="1" t="s">
        <v>19</v>
      </c>
      <c r="G311" s="1" t="s">
        <v>393</v>
      </c>
      <c r="H311" s="1" t="s">
        <v>956</v>
      </c>
      <c r="I311" s="1" t="s">
        <v>1477</v>
      </c>
      <c r="J311" s="1" t="s">
        <v>996</v>
      </c>
      <c r="K311" s="1" t="s">
        <v>19</v>
      </c>
      <c r="L311">
        <v>15000000</v>
      </c>
      <c r="M311">
        <v>57800000</v>
      </c>
      <c r="N311">
        <v>42800000</v>
      </c>
      <c r="O311">
        <v>285.33</v>
      </c>
      <c r="P311" t="s">
        <v>40</v>
      </c>
    </row>
    <row r="312" spans="1:16" x14ac:dyDescent="0.3">
      <c r="A312" s="1" t="s">
        <v>1591</v>
      </c>
      <c r="B312" s="2">
        <v>41061</v>
      </c>
      <c r="C312">
        <v>2012</v>
      </c>
      <c r="D312" s="1" t="s">
        <v>25</v>
      </c>
      <c r="E312" s="1" t="s">
        <v>1592</v>
      </c>
      <c r="F312" s="1" t="s">
        <v>19</v>
      </c>
      <c r="G312" s="1" t="s">
        <v>1013</v>
      </c>
      <c r="H312" s="1" t="s">
        <v>194</v>
      </c>
      <c r="I312" s="1" t="s">
        <v>317</v>
      </c>
      <c r="J312" s="1" t="s">
        <v>1593</v>
      </c>
      <c r="K312" s="1" t="s">
        <v>1594</v>
      </c>
      <c r="L312">
        <v>170000000</v>
      </c>
      <c r="M312">
        <v>396600000</v>
      </c>
      <c r="N312">
        <v>226600000</v>
      </c>
      <c r="O312">
        <v>133.29</v>
      </c>
      <c r="P312" t="s">
        <v>40</v>
      </c>
    </row>
    <row r="313" spans="1:16" x14ac:dyDescent="0.3">
      <c r="A313" s="1" t="s">
        <v>1595</v>
      </c>
      <c r="B313" s="2">
        <v>41698</v>
      </c>
      <c r="C313">
        <v>2014</v>
      </c>
      <c r="D313" s="1" t="s">
        <v>74</v>
      </c>
      <c r="E313" s="1" t="s">
        <v>1596</v>
      </c>
      <c r="F313" s="1" t="s">
        <v>19</v>
      </c>
      <c r="G313" s="1" t="s">
        <v>1597</v>
      </c>
      <c r="H313" s="1" t="s">
        <v>1598</v>
      </c>
      <c r="I313" s="1" t="s">
        <v>1599</v>
      </c>
      <c r="J313" s="1" t="s">
        <v>19</v>
      </c>
      <c r="K313" s="1" t="s">
        <v>19</v>
      </c>
      <c r="L313">
        <v>22000000</v>
      </c>
      <c r="M313">
        <v>67800000</v>
      </c>
      <c r="N313">
        <v>45800000</v>
      </c>
      <c r="O313">
        <v>208.18</v>
      </c>
      <c r="P313" t="s">
        <v>40</v>
      </c>
    </row>
    <row r="314" spans="1:16" x14ac:dyDescent="0.3">
      <c r="A314" s="1" t="s">
        <v>1600</v>
      </c>
      <c r="B314" s="2">
        <v>42139</v>
      </c>
      <c r="C314">
        <v>2015</v>
      </c>
      <c r="D314" s="1" t="s">
        <v>74</v>
      </c>
      <c r="E314" s="1" t="s">
        <v>1601</v>
      </c>
      <c r="F314" s="1" t="s">
        <v>19</v>
      </c>
      <c r="G314" s="1" t="s">
        <v>1602</v>
      </c>
      <c r="H314" s="1" t="s">
        <v>19</v>
      </c>
      <c r="I314" s="1" t="s">
        <v>19</v>
      </c>
      <c r="J314" s="1" t="s">
        <v>19</v>
      </c>
      <c r="K314" s="1" t="s">
        <v>19</v>
      </c>
      <c r="L314">
        <v>1500000</v>
      </c>
      <c r="M314">
        <v>6200000</v>
      </c>
      <c r="N314">
        <v>4700000</v>
      </c>
      <c r="O314">
        <v>313.33</v>
      </c>
      <c r="P314" t="s">
        <v>23</v>
      </c>
    </row>
    <row r="315" spans="1:16" x14ac:dyDescent="0.3">
      <c r="A315" s="1" t="s">
        <v>1603</v>
      </c>
      <c r="B315" s="2">
        <v>42170</v>
      </c>
      <c r="C315">
        <v>2015</v>
      </c>
      <c r="D315" s="1" t="s">
        <v>74</v>
      </c>
      <c r="E315" s="1" t="s">
        <v>1270</v>
      </c>
      <c r="F315" s="1" t="s">
        <v>19</v>
      </c>
      <c r="G315" s="1" t="s">
        <v>622</v>
      </c>
      <c r="H315" s="1" t="s">
        <v>113</v>
      </c>
      <c r="I315" s="1" t="s">
        <v>1604</v>
      </c>
      <c r="J315" s="1" t="s">
        <v>1605</v>
      </c>
      <c r="K315" s="1" t="s">
        <v>1606</v>
      </c>
      <c r="L315">
        <v>30000000</v>
      </c>
      <c r="M315">
        <v>92000000</v>
      </c>
      <c r="N315">
        <v>62000000</v>
      </c>
      <c r="O315">
        <v>206.67</v>
      </c>
      <c r="P315" t="s">
        <v>40</v>
      </c>
    </row>
    <row r="316" spans="1:16" x14ac:dyDescent="0.3">
      <c r="A316" s="1" t="s">
        <v>1607</v>
      </c>
      <c r="B316" s="2">
        <v>42250</v>
      </c>
      <c r="C316">
        <v>2015</v>
      </c>
      <c r="D316" s="1" t="s">
        <v>74</v>
      </c>
      <c r="E316" s="1" t="s">
        <v>1608</v>
      </c>
      <c r="F316" s="1" t="s">
        <v>19</v>
      </c>
      <c r="G316" s="1" t="s">
        <v>1262</v>
      </c>
      <c r="H316" s="1" t="s">
        <v>1210</v>
      </c>
      <c r="I316" s="1" t="s">
        <v>113</v>
      </c>
      <c r="J316" s="1" t="s">
        <v>1339</v>
      </c>
      <c r="K316" s="1" t="s">
        <v>1609</v>
      </c>
      <c r="L316">
        <v>20000000</v>
      </c>
      <c r="M316">
        <v>88300000</v>
      </c>
      <c r="N316">
        <v>68300000</v>
      </c>
      <c r="O316">
        <v>341.5</v>
      </c>
      <c r="P316" t="s">
        <v>23</v>
      </c>
    </row>
    <row r="317" spans="1:16" x14ac:dyDescent="0.3">
      <c r="A317" s="1" t="s">
        <v>1610</v>
      </c>
      <c r="B317" s="2">
        <v>42139</v>
      </c>
      <c r="C317">
        <v>2015</v>
      </c>
      <c r="D317" s="1" t="s">
        <v>25</v>
      </c>
      <c r="E317" s="1" t="s">
        <v>746</v>
      </c>
      <c r="F317" s="1" t="s">
        <v>19</v>
      </c>
      <c r="G317" s="1" t="s">
        <v>747</v>
      </c>
      <c r="H317" s="1" t="s">
        <v>1138</v>
      </c>
      <c r="I317" s="1" t="s">
        <v>216</v>
      </c>
      <c r="J317" s="1" t="s">
        <v>1611</v>
      </c>
      <c r="K317" s="1" t="s">
        <v>217</v>
      </c>
      <c r="L317">
        <v>65000000</v>
      </c>
      <c r="M317">
        <v>235700000</v>
      </c>
      <c r="N317">
        <v>170700000</v>
      </c>
      <c r="O317">
        <v>262.62</v>
      </c>
      <c r="P317" t="s">
        <v>40</v>
      </c>
    </row>
    <row r="318" spans="1:16" x14ac:dyDescent="0.3">
      <c r="A318" s="1" t="s">
        <v>1612</v>
      </c>
      <c r="B318" s="2">
        <v>41887</v>
      </c>
      <c r="C318">
        <v>2014</v>
      </c>
      <c r="D318" s="1" t="s">
        <v>42</v>
      </c>
      <c r="E318" s="1" t="s">
        <v>1613</v>
      </c>
      <c r="F318" s="1" t="s">
        <v>19</v>
      </c>
      <c r="G318" s="1" t="s">
        <v>171</v>
      </c>
      <c r="H318" s="1" t="s">
        <v>747</v>
      </c>
      <c r="I318" s="1" t="s">
        <v>1614</v>
      </c>
      <c r="J318" s="1" t="s">
        <v>1615</v>
      </c>
      <c r="K318" s="1" t="s">
        <v>1616</v>
      </c>
      <c r="L318">
        <v>13000000</v>
      </c>
      <c r="M318">
        <v>54800000</v>
      </c>
      <c r="N318">
        <v>41800000</v>
      </c>
      <c r="O318">
        <v>321.54000000000002</v>
      </c>
      <c r="P318" t="s">
        <v>23</v>
      </c>
    </row>
    <row r="319" spans="1:16" x14ac:dyDescent="0.3">
      <c r="A319" s="1" t="s">
        <v>1617</v>
      </c>
      <c r="B319" s="2">
        <v>41859</v>
      </c>
      <c r="C319">
        <v>2014</v>
      </c>
      <c r="D319" s="1" t="s">
        <v>835</v>
      </c>
      <c r="E319" s="1" t="s">
        <v>1618</v>
      </c>
      <c r="F319" s="1" t="s">
        <v>1619</v>
      </c>
      <c r="G319" s="1" t="s">
        <v>1620</v>
      </c>
      <c r="H319" s="1" t="s">
        <v>1621</v>
      </c>
      <c r="I319" s="1" t="s">
        <v>1622</v>
      </c>
      <c r="J319" s="1" t="s">
        <v>1623</v>
      </c>
      <c r="K319" s="1" t="s">
        <v>1624</v>
      </c>
      <c r="L319">
        <v>35000000</v>
      </c>
      <c r="M319">
        <v>196400000</v>
      </c>
      <c r="N319">
        <v>161400000</v>
      </c>
      <c r="O319">
        <v>461.14</v>
      </c>
      <c r="P319" t="s">
        <v>23</v>
      </c>
    </row>
    <row r="320" spans="1:16" x14ac:dyDescent="0.3">
      <c r="A320" s="1" t="s">
        <v>1625</v>
      </c>
      <c r="B320" s="2">
        <v>42573</v>
      </c>
      <c r="C320">
        <v>2016</v>
      </c>
      <c r="D320" s="1" t="s">
        <v>25</v>
      </c>
      <c r="E320" s="1" t="s">
        <v>668</v>
      </c>
      <c r="F320" s="1" t="s">
        <v>19</v>
      </c>
      <c r="G320" s="1" t="s">
        <v>941</v>
      </c>
      <c r="H320" s="1" t="s">
        <v>831</v>
      </c>
      <c r="I320" s="1" t="s">
        <v>1626</v>
      </c>
      <c r="J320" s="1" t="s">
        <v>1469</v>
      </c>
      <c r="K320" s="1" t="s">
        <v>882</v>
      </c>
      <c r="L320">
        <v>185000000</v>
      </c>
      <c r="M320">
        <v>243000000</v>
      </c>
      <c r="N320">
        <v>58000000</v>
      </c>
      <c r="O320">
        <v>31.35</v>
      </c>
      <c r="P320" t="s">
        <v>32</v>
      </c>
    </row>
    <row r="321" spans="1:16" x14ac:dyDescent="0.3">
      <c r="A321" s="1" t="s">
        <v>1627</v>
      </c>
      <c r="B321" s="2">
        <v>41859</v>
      </c>
      <c r="C321">
        <v>2014</v>
      </c>
      <c r="D321" s="1" t="s">
        <v>74</v>
      </c>
      <c r="E321" s="1" t="s">
        <v>1628</v>
      </c>
      <c r="F321" s="1" t="s">
        <v>19</v>
      </c>
      <c r="G321" s="1" t="s">
        <v>963</v>
      </c>
      <c r="H321" s="1" t="s">
        <v>1629</v>
      </c>
      <c r="I321" s="1" t="s">
        <v>1630</v>
      </c>
      <c r="J321" s="1" t="s">
        <v>1631</v>
      </c>
      <c r="K321" s="1" t="s">
        <v>1632</v>
      </c>
      <c r="L321">
        <v>45000000</v>
      </c>
      <c r="M321">
        <v>86200000</v>
      </c>
      <c r="N321">
        <v>41200000</v>
      </c>
      <c r="O321">
        <v>91.56</v>
      </c>
      <c r="P321" t="s">
        <v>32</v>
      </c>
    </row>
    <row r="322" spans="1:16" x14ac:dyDescent="0.3">
      <c r="A322" s="1" t="s">
        <v>1633</v>
      </c>
      <c r="B322" s="2">
        <v>42252</v>
      </c>
      <c r="C322">
        <v>2015</v>
      </c>
      <c r="D322" s="1" t="s">
        <v>59</v>
      </c>
      <c r="E322" s="1" t="s">
        <v>1634</v>
      </c>
      <c r="F322" s="1" t="s">
        <v>19</v>
      </c>
      <c r="G322" s="1" t="s">
        <v>1418</v>
      </c>
      <c r="H322" s="1" t="s">
        <v>1018</v>
      </c>
      <c r="I322" s="1" t="s">
        <v>545</v>
      </c>
      <c r="J322" s="1" t="s">
        <v>593</v>
      </c>
      <c r="K322" s="1" t="s">
        <v>1635</v>
      </c>
      <c r="L322">
        <v>30000000</v>
      </c>
      <c r="M322">
        <v>34400000</v>
      </c>
      <c r="N322">
        <v>4400000</v>
      </c>
      <c r="O322">
        <v>14.67</v>
      </c>
      <c r="P322" t="s">
        <v>32</v>
      </c>
    </row>
    <row r="323" spans="1:16" x14ac:dyDescent="0.3">
      <c r="A323" s="1" t="s">
        <v>1636</v>
      </c>
      <c r="B323" s="2">
        <v>42227</v>
      </c>
      <c r="C323">
        <v>2015</v>
      </c>
      <c r="D323" s="1" t="s">
        <v>59</v>
      </c>
      <c r="E323" s="1" t="s">
        <v>1637</v>
      </c>
      <c r="F323" s="1" t="s">
        <v>19</v>
      </c>
      <c r="G323" s="1" t="s">
        <v>1638</v>
      </c>
      <c r="H323" s="1" t="s">
        <v>560</v>
      </c>
      <c r="I323" s="1" t="s">
        <v>1639</v>
      </c>
      <c r="J323" s="1" t="s">
        <v>1640</v>
      </c>
      <c r="K323" s="1" t="s">
        <v>1641</v>
      </c>
      <c r="L323">
        <v>50000000</v>
      </c>
      <c r="M323">
        <v>201600000</v>
      </c>
      <c r="N323">
        <v>151600000</v>
      </c>
      <c r="O323">
        <v>303.2</v>
      </c>
      <c r="P323" t="s">
        <v>23</v>
      </c>
    </row>
    <row r="324" spans="1:16" x14ac:dyDescent="0.3">
      <c r="A324" s="1" t="s">
        <v>1642</v>
      </c>
      <c r="B324" s="2">
        <v>42251</v>
      </c>
      <c r="C324">
        <v>2015</v>
      </c>
      <c r="D324" s="1" t="s">
        <v>74</v>
      </c>
      <c r="E324" s="1" t="s">
        <v>1643</v>
      </c>
      <c r="F324" s="1" t="s">
        <v>19</v>
      </c>
      <c r="G324" s="1" t="s">
        <v>1644</v>
      </c>
      <c r="H324" s="1" t="s">
        <v>486</v>
      </c>
      <c r="I324" s="1" t="s">
        <v>679</v>
      </c>
      <c r="J324" s="1" t="s">
        <v>443</v>
      </c>
      <c r="K324" s="1" t="s">
        <v>1645</v>
      </c>
      <c r="L324">
        <v>14000000</v>
      </c>
      <c r="M324">
        <v>32000000</v>
      </c>
      <c r="N324">
        <v>18000000</v>
      </c>
      <c r="O324">
        <v>128.57</v>
      </c>
      <c r="P324" t="s">
        <v>40</v>
      </c>
    </row>
    <row r="325" spans="1:16" x14ac:dyDescent="0.3">
      <c r="A325" s="1" t="s">
        <v>1646</v>
      </c>
      <c r="B325" s="2">
        <v>42587</v>
      </c>
      <c r="C325">
        <v>2016</v>
      </c>
      <c r="D325" s="1" t="s">
        <v>25</v>
      </c>
      <c r="E325" s="1" t="s">
        <v>621</v>
      </c>
      <c r="F325" s="1" t="s">
        <v>19</v>
      </c>
      <c r="G325" s="1" t="s">
        <v>148</v>
      </c>
      <c r="H325" s="1" t="s">
        <v>1647</v>
      </c>
      <c r="I325" s="1" t="s">
        <v>1648</v>
      </c>
      <c r="J325" s="1" t="s">
        <v>429</v>
      </c>
      <c r="K325" s="1" t="s">
        <v>281</v>
      </c>
      <c r="L325">
        <v>175000000</v>
      </c>
      <c r="M325">
        <v>636700000</v>
      </c>
      <c r="N325">
        <v>461700000</v>
      </c>
      <c r="O325">
        <v>263.83</v>
      </c>
      <c r="P325" t="s">
        <v>40</v>
      </c>
    </row>
    <row r="326" spans="1:16" x14ac:dyDescent="0.3">
      <c r="A326" s="1" t="s">
        <v>1649</v>
      </c>
      <c r="B326" s="2">
        <v>41187</v>
      </c>
      <c r="C326">
        <v>2012</v>
      </c>
      <c r="D326" s="1" t="s">
        <v>25</v>
      </c>
      <c r="E326" s="1" t="s">
        <v>1650</v>
      </c>
      <c r="F326" s="1" t="s">
        <v>19</v>
      </c>
      <c r="G326" s="1" t="s">
        <v>127</v>
      </c>
      <c r="H326" s="1" t="s">
        <v>811</v>
      </c>
      <c r="I326" s="1" t="s">
        <v>1068</v>
      </c>
      <c r="J326" s="1" t="s">
        <v>1651</v>
      </c>
      <c r="K326" s="1" t="s">
        <v>190</v>
      </c>
      <c r="L326">
        <v>43000000</v>
      </c>
      <c r="M326">
        <v>376100000</v>
      </c>
      <c r="N326">
        <v>333100000</v>
      </c>
      <c r="O326">
        <v>774.65</v>
      </c>
      <c r="P326" t="s">
        <v>23</v>
      </c>
    </row>
    <row r="327" spans="1:16" x14ac:dyDescent="0.3">
      <c r="A327" s="1" t="s">
        <v>1652</v>
      </c>
      <c r="B327" s="2">
        <v>41822</v>
      </c>
      <c r="C327">
        <v>2014</v>
      </c>
      <c r="D327" s="1" t="s">
        <v>42</v>
      </c>
      <c r="E327" s="1" t="s">
        <v>630</v>
      </c>
      <c r="F327" s="1" t="s">
        <v>19</v>
      </c>
      <c r="G327" s="1" t="s">
        <v>747</v>
      </c>
      <c r="H327" s="1" t="s">
        <v>956</v>
      </c>
      <c r="I327" s="1" t="s">
        <v>123</v>
      </c>
      <c r="J327" s="1" t="s">
        <v>99</v>
      </c>
      <c r="K327" s="1" t="s">
        <v>1653</v>
      </c>
      <c r="L327">
        <v>20000000</v>
      </c>
      <c r="M327">
        <v>100500000</v>
      </c>
      <c r="N327">
        <v>80500000</v>
      </c>
      <c r="O327">
        <v>402.5</v>
      </c>
      <c r="P327" t="s">
        <v>23</v>
      </c>
    </row>
    <row r="328" spans="1:16" x14ac:dyDescent="0.3">
      <c r="A328" s="1" t="s">
        <v>1654</v>
      </c>
      <c r="B328" s="2">
        <v>41089</v>
      </c>
      <c r="C328">
        <v>2012</v>
      </c>
      <c r="D328" s="1" t="s">
        <v>42</v>
      </c>
      <c r="E328" s="1" t="s">
        <v>1655</v>
      </c>
      <c r="F328" s="1" t="s">
        <v>19</v>
      </c>
      <c r="G328" s="1" t="s">
        <v>35</v>
      </c>
      <c r="H328" s="1" t="s">
        <v>239</v>
      </c>
      <c r="I328" s="1" t="s">
        <v>1655</v>
      </c>
      <c r="J328" s="1" t="s">
        <v>1656</v>
      </c>
      <c r="K328" s="1" t="s">
        <v>518</v>
      </c>
      <c r="L328">
        <v>51000000</v>
      </c>
      <c r="M328">
        <v>549400000</v>
      </c>
      <c r="N328">
        <v>498400000</v>
      </c>
      <c r="O328">
        <v>977.25</v>
      </c>
      <c r="P328" t="s">
        <v>23</v>
      </c>
    </row>
    <row r="329" spans="1:16" x14ac:dyDescent="0.3">
      <c r="A329" s="1" t="s">
        <v>1657</v>
      </c>
      <c r="B329" s="2">
        <v>42179</v>
      </c>
      <c r="C329">
        <v>2015</v>
      </c>
      <c r="D329" s="1" t="s">
        <v>42</v>
      </c>
      <c r="E329" s="1" t="s">
        <v>1655</v>
      </c>
      <c r="F329" s="1" t="s">
        <v>19</v>
      </c>
      <c r="G329" s="1" t="s">
        <v>1658</v>
      </c>
      <c r="H329" s="1" t="s">
        <v>1659</v>
      </c>
      <c r="I329" s="1" t="s">
        <v>1655</v>
      </c>
      <c r="J329" s="1" t="s">
        <v>641</v>
      </c>
      <c r="K329" s="1" t="s">
        <v>1656</v>
      </c>
      <c r="L329">
        <v>68000000</v>
      </c>
      <c r="M329">
        <v>216700000</v>
      </c>
      <c r="N329">
        <v>148700000</v>
      </c>
      <c r="O329">
        <v>218.68</v>
      </c>
      <c r="P329" t="s">
        <v>40</v>
      </c>
    </row>
    <row r="330" spans="1:16" x14ac:dyDescent="0.3">
      <c r="A330" s="1" t="s">
        <v>1660</v>
      </c>
      <c r="B330" s="2">
        <v>41849</v>
      </c>
      <c r="C330">
        <v>2014</v>
      </c>
      <c r="D330" s="1" t="s">
        <v>25</v>
      </c>
      <c r="E330" s="1" t="s">
        <v>1661</v>
      </c>
      <c r="F330" s="1" t="s">
        <v>19</v>
      </c>
      <c r="G330" s="1" t="s">
        <v>1662</v>
      </c>
      <c r="H330" s="1" t="s">
        <v>1663</v>
      </c>
      <c r="I330" s="1" t="s">
        <v>1664</v>
      </c>
      <c r="J330" s="1" t="s">
        <v>1665</v>
      </c>
      <c r="K330" s="1" t="s">
        <v>1666</v>
      </c>
      <c r="L330">
        <v>125000000</v>
      </c>
      <c r="M330">
        <v>493300000</v>
      </c>
      <c r="N330">
        <v>368300000</v>
      </c>
      <c r="O330">
        <v>294.64</v>
      </c>
      <c r="P330" t="s">
        <v>40</v>
      </c>
    </row>
    <row r="331" spans="1:16" x14ac:dyDescent="0.3">
      <c r="A331" s="1" t="s">
        <v>1667</v>
      </c>
      <c r="B331" s="2">
        <v>42512</v>
      </c>
      <c r="C331">
        <v>2016</v>
      </c>
      <c r="D331" s="1" t="s">
        <v>25</v>
      </c>
      <c r="E331" s="1" t="s">
        <v>597</v>
      </c>
      <c r="F331" s="1" t="s">
        <v>19</v>
      </c>
      <c r="G331" s="1" t="s">
        <v>1662</v>
      </c>
      <c r="H331" s="1" t="s">
        <v>1668</v>
      </c>
      <c r="I331" s="1" t="s">
        <v>1669</v>
      </c>
      <c r="J331" s="1" t="s">
        <v>1670</v>
      </c>
      <c r="K331" s="1" t="s">
        <v>1671</v>
      </c>
      <c r="L331">
        <v>135000000</v>
      </c>
      <c r="M331">
        <v>242500000</v>
      </c>
      <c r="N331">
        <v>107500000</v>
      </c>
      <c r="O331">
        <v>79.63</v>
      </c>
      <c r="P331" t="s">
        <v>32</v>
      </c>
    </row>
    <row r="332" spans="1:16" x14ac:dyDescent="0.3">
      <c r="A332" s="1" t="s">
        <v>1672</v>
      </c>
      <c r="B332" s="2">
        <v>42177</v>
      </c>
      <c r="C332">
        <v>2015</v>
      </c>
      <c r="D332" s="1" t="s">
        <v>145</v>
      </c>
      <c r="E332" s="1" t="s">
        <v>1673</v>
      </c>
      <c r="F332" s="1" t="s">
        <v>19</v>
      </c>
      <c r="G332" s="1" t="s">
        <v>1523</v>
      </c>
      <c r="H332" s="1" t="s">
        <v>1674</v>
      </c>
      <c r="I332" s="1" t="s">
        <v>1131</v>
      </c>
      <c r="J332" s="1" t="s">
        <v>431</v>
      </c>
      <c r="K332" s="1" t="s">
        <v>83</v>
      </c>
      <c r="L332">
        <v>155000000</v>
      </c>
      <c r="M332">
        <v>440600000</v>
      </c>
      <c r="N332">
        <v>285600000</v>
      </c>
      <c r="O332">
        <v>184.26</v>
      </c>
      <c r="P332" t="s">
        <v>40</v>
      </c>
    </row>
    <row r="333" spans="1:16" x14ac:dyDescent="0.3">
      <c r="A333" s="1" t="s">
        <v>1675</v>
      </c>
      <c r="B333" s="2">
        <v>41278</v>
      </c>
      <c r="C333">
        <v>2013</v>
      </c>
      <c r="D333" s="1" t="s">
        <v>138</v>
      </c>
      <c r="E333" s="1" t="s">
        <v>1676</v>
      </c>
      <c r="F333" s="1" t="s">
        <v>19</v>
      </c>
      <c r="G333" s="1" t="s">
        <v>1353</v>
      </c>
      <c r="H333" s="1" t="s">
        <v>1677</v>
      </c>
      <c r="I333" s="1" t="s">
        <v>1678</v>
      </c>
      <c r="J333" s="1" t="s">
        <v>1679</v>
      </c>
      <c r="K333" s="1" t="s">
        <v>1680</v>
      </c>
      <c r="L333">
        <v>20000000</v>
      </c>
      <c r="M333">
        <v>47200000</v>
      </c>
      <c r="N333">
        <v>27200000</v>
      </c>
      <c r="O333">
        <v>136</v>
      </c>
      <c r="P333" t="s">
        <v>40</v>
      </c>
    </row>
    <row r="334" spans="1:16" x14ac:dyDescent="0.3">
      <c r="A334" s="1" t="s">
        <v>1681</v>
      </c>
      <c r="B334" s="2">
        <v>41666</v>
      </c>
      <c r="C334">
        <v>2014</v>
      </c>
      <c r="D334" s="1" t="s">
        <v>42</v>
      </c>
      <c r="E334" s="1" t="s">
        <v>1682</v>
      </c>
      <c r="F334" s="1" t="s">
        <v>19</v>
      </c>
      <c r="G334" s="1" t="s">
        <v>568</v>
      </c>
      <c r="H334" s="1" t="s">
        <v>435</v>
      </c>
      <c r="I334" s="1" t="s">
        <v>665</v>
      </c>
      <c r="J334" s="1" t="s">
        <v>102</v>
      </c>
      <c r="K334" s="1" t="s">
        <v>654</v>
      </c>
      <c r="L334">
        <v>8000000</v>
      </c>
      <c r="M334">
        <v>40500000</v>
      </c>
      <c r="N334">
        <v>32500000</v>
      </c>
      <c r="O334">
        <v>406.25</v>
      </c>
      <c r="P334" t="s">
        <v>23</v>
      </c>
    </row>
    <row r="335" spans="1:16" x14ac:dyDescent="0.3">
      <c r="A335" s="1" t="s">
        <v>1683</v>
      </c>
      <c r="B335" s="2">
        <v>42222</v>
      </c>
      <c r="C335">
        <v>2015</v>
      </c>
      <c r="D335" s="1" t="s">
        <v>74</v>
      </c>
      <c r="E335" s="1" t="s">
        <v>1148</v>
      </c>
      <c r="F335" s="1" t="s">
        <v>19</v>
      </c>
      <c r="G335" s="1" t="s">
        <v>1684</v>
      </c>
      <c r="H335" s="1" t="s">
        <v>53</v>
      </c>
      <c r="I335" s="1" t="s">
        <v>773</v>
      </c>
      <c r="J335" s="1" t="s">
        <v>1685</v>
      </c>
      <c r="K335" s="1" t="s">
        <v>1686</v>
      </c>
      <c r="L335">
        <v>26000000</v>
      </c>
      <c r="M335">
        <v>24900000</v>
      </c>
      <c r="N335">
        <v>-1100000</v>
      </c>
      <c r="O335">
        <v>-4.2300000000000004</v>
      </c>
      <c r="P335" t="s">
        <v>72</v>
      </c>
    </row>
    <row r="336" spans="1:16" x14ac:dyDescent="0.3">
      <c r="A336" s="1" t="s">
        <v>1687</v>
      </c>
      <c r="B336" s="2">
        <v>42391</v>
      </c>
      <c r="C336">
        <v>2016</v>
      </c>
      <c r="D336" s="1" t="s">
        <v>145</v>
      </c>
      <c r="E336" s="1" t="s">
        <v>1688</v>
      </c>
      <c r="F336" s="1" t="s">
        <v>19</v>
      </c>
      <c r="G336" s="1" t="s">
        <v>885</v>
      </c>
      <c r="H336" s="1" t="s">
        <v>1689</v>
      </c>
      <c r="I336" s="1" t="s">
        <v>1690</v>
      </c>
      <c r="J336" s="1" t="s">
        <v>1339</v>
      </c>
      <c r="K336" s="1" t="s">
        <v>1691</v>
      </c>
      <c r="L336">
        <v>35000000</v>
      </c>
      <c r="M336">
        <v>110700000</v>
      </c>
      <c r="N336">
        <v>75700000</v>
      </c>
      <c r="O336">
        <v>216.29</v>
      </c>
      <c r="P336" t="s">
        <v>40</v>
      </c>
    </row>
    <row r="337" spans="1:16" x14ac:dyDescent="0.3">
      <c r="A337" s="1" t="s">
        <v>1692</v>
      </c>
      <c r="B337" s="2">
        <v>42118</v>
      </c>
      <c r="C337">
        <v>2015</v>
      </c>
      <c r="D337" s="1" t="s">
        <v>166</v>
      </c>
      <c r="E337" s="1" t="s">
        <v>1693</v>
      </c>
      <c r="F337" s="1" t="s">
        <v>19</v>
      </c>
      <c r="G337" s="1" t="s">
        <v>1534</v>
      </c>
      <c r="H337" s="1" t="s">
        <v>1694</v>
      </c>
      <c r="I337" s="1" t="s">
        <v>61</v>
      </c>
      <c r="J337" s="1" t="s">
        <v>1695</v>
      </c>
      <c r="K337" s="1" t="s">
        <v>1696</v>
      </c>
      <c r="L337">
        <v>25000000</v>
      </c>
      <c r="M337">
        <v>65700000</v>
      </c>
      <c r="N337">
        <v>40700000</v>
      </c>
      <c r="O337">
        <v>162.80000000000001</v>
      </c>
      <c r="P337" t="s">
        <v>40</v>
      </c>
    </row>
    <row r="338" spans="1:16" x14ac:dyDescent="0.3">
      <c r="A338" s="1" t="s">
        <v>1697</v>
      </c>
      <c r="B338" s="2">
        <v>41093</v>
      </c>
      <c r="C338">
        <v>2012</v>
      </c>
      <c r="D338" s="1" t="s">
        <v>25</v>
      </c>
      <c r="E338" s="1" t="s">
        <v>1698</v>
      </c>
      <c r="F338" s="1" t="s">
        <v>19</v>
      </c>
      <c r="G338" s="1" t="s">
        <v>1699</v>
      </c>
      <c r="H338" s="1" t="s">
        <v>169</v>
      </c>
      <c r="I338" s="1" t="s">
        <v>189</v>
      </c>
      <c r="J338" s="1" t="s">
        <v>1700</v>
      </c>
      <c r="K338" s="1" t="s">
        <v>1056</v>
      </c>
      <c r="L338">
        <v>230000000</v>
      </c>
      <c r="M338">
        <v>757900000</v>
      </c>
      <c r="N338">
        <v>527900000</v>
      </c>
      <c r="O338">
        <v>229.52</v>
      </c>
      <c r="P338" t="s">
        <v>40</v>
      </c>
    </row>
    <row r="339" spans="1:16" x14ac:dyDescent="0.3">
      <c r="A339" s="1" t="s">
        <v>1701</v>
      </c>
      <c r="B339" s="2">
        <v>42495</v>
      </c>
      <c r="C339">
        <v>2016</v>
      </c>
      <c r="D339" s="1" t="s">
        <v>42</v>
      </c>
      <c r="E339" s="1" t="s">
        <v>1702</v>
      </c>
      <c r="F339" s="1" t="s">
        <v>1703</v>
      </c>
      <c r="G339" s="1" t="s">
        <v>642</v>
      </c>
      <c r="H339" s="1" t="s">
        <v>972</v>
      </c>
      <c r="I339" s="1" t="s">
        <v>1704</v>
      </c>
      <c r="J339" s="1" t="s">
        <v>449</v>
      </c>
      <c r="K339" s="1" t="s">
        <v>699</v>
      </c>
      <c r="L339">
        <v>73000000</v>
      </c>
      <c r="M339">
        <v>346900000</v>
      </c>
      <c r="N339">
        <v>273900000</v>
      </c>
      <c r="O339">
        <v>375.21</v>
      </c>
      <c r="P339" t="s">
        <v>23</v>
      </c>
    </row>
    <row r="340" spans="1:16" x14ac:dyDescent="0.3">
      <c r="A340" s="1" t="s">
        <v>1705</v>
      </c>
      <c r="B340" s="2">
        <v>41033</v>
      </c>
      <c r="C340">
        <v>2012</v>
      </c>
      <c r="D340" s="1" t="s">
        <v>42</v>
      </c>
      <c r="E340" s="1" t="s">
        <v>1706</v>
      </c>
      <c r="F340" s="1" t="s">
        <v>19</v>
      </c>
      <c r="G340" s="1" t="s">
        <v>1707</v>
      </c>
      <c r="H340" s="1" t="s">
        <v>1708</v>
      </c>
      <c r="I340" s="1" t="s">
        <v>405</v>
      </c>
      <c r="J340" s="1" t="s">
        <v>1553</v>
      </c>
      <c r="K340" s="1" t="s">
        <v>1709</v>
      </c>
      <c r="L340">
        <v>10000000</v>
      </c>
      <c r="M340">
        <v>136800000</v>
      </c>
      <c r="N340">
        <v>126800000</v>
      </c>
      <c r="O340">
        <v>1268</v>
      </c>
      <c r="P340" t="s">
        <v>23</v>
      </c>
    </row>
    <row r="341" spans="1:16" x14ac:dyDescent="0.3">
      <c r="A341" s="1" t="s">
        <v>1710</v>
      </c>
      <c r="B341" s="2">
        <v>42349</v>
      </c>
      <c r="C341">
        <v>2015</v>
      </c>
      <c r="D341" s="1" t="s">
        <v>59</v>
      </c>
      <c r="E341" s="1" t="s">
        <v>1711</v>
      </c>
      <c r="F341" s="1" t="s">
        <v>19</v>
      </c>
      <c r="G341" s="1" t="s">
        <v>1712</v>
      </c>
      <c r="H341" s="1" t="s">
        <v>522</v>
      </c>
      <c r="I341" s="1" t="s">
        <v>716</v>
      </c>
      <c r="J341" s="1" t="s">
        <v>369</v>
      </c>
      <c r="K341" s="1" t="s">
        <v>1408</v>
      </c>
      <c r="L341">
        <v>28000000</v>
      </c>
      <c r="M341">
        <v>133300000</v>
      </c>
      <c r="N341">
        <v>105300000</v>
      </c>
      <c r="O341">
        <v>376.07</v>
      </c>
      <c r="P341" t="s">
        <v>23</v>
      </c>
    </row>
    <row r="342" spans="1:16" x14ac:dyDescent="0.3">
      <c r="A342" s="1" t="s">
        <v>1713</v>
      </c>
      <c r="B342" s="2">
        <v>41439</v>
      </c>
      <c r="C342">
        <v>2013</v>
      </c>
      <c r="D342" s="1" t="s">
        <v>42</v>
      </c>
      <c r="E342" s="1" t="s">
        <v>1714</v>
      </c>
      <c r="F342" s="1" t="s">
        <v>19</v>
      </c>
      <c r="G342" s="1" t="s">
        <v>1251</v>
      </c>
      <c r="H342" s="1" t="s">
        <v>1715</v>
      </c>
      <c r="I342" s="1" t="s">
        <v>1716</v>
      </c>
      <c r="J342" s="1" t="s">
        <v>1717</v>
      </c>
      <c r="K342" s="1" t="s">
        <v>1718</v>
      </c>
      <c r="L342">
        <v>8000000</v>
      </c>
      <c r="M342">
        <v>19100000</v>
      </c>
      <c r="N342">
        <v>11100000</v>
      </c>
      <c r="O342">
        <v>138.75</v>
      </c>
      <c r="P342" t="s">
        <v>40</v>
      </c>
    </row>
    <row r="343" spans="1:16" x14ac:dyDescent="0.3">
      <c r="A343" s="1" t="s">
        <v>1719</v>
      </c>
      <c r="B343" s="2">
        <v>41924</v>
      </c>
      <c r="C343">
        <v>2014</v>
      </c>
      <c r="D343" s="1" t="s">
        <v>445</v>
      </c>
      <c r="E343" s="1" t="s">
        <v>1720</v>
      </c>
      <c r="F343" s="1" t="s">
        <v>19</v>
      </c>
      <c r="G343" s="1" t="s">
        <v>240</v>
      </c>
      <c r="H343" s="1" t="s">
        <v>396</v>
      </c>
      <c r="I343" s="1" t="s">
        <v>1626</v>
      </c>
      <c r="J343" s="1" t="s">
        <v>46</v>
      </c>
      <c r="K343" s="1" t="s">
        <v>19</v>
      </c>
      <c r="L343">
        <v>50000000</v>
      </c>
      <c r="M343">
        <v>99800000</v>
      </c>
      <c r="N343">
        <v>49800000</v>
      </c>
      <c r="O343">
        <v>99.6</v>
      </c>
      <c r="P343" t="s">
        <v>32</v>
      </c>
    </row>
    <row r="344" spans="1:16" x14ac:dyDescent="0.3">
      <c r="A344" s="1" t="s">
        <v>1721</v>
      </c>
      <c r="B344" s="2">
        <v>42468</v>
      </c>
      <c r="C344">
        <v>2016</v>
      </c>
      <c r="D344" s="1" t="s">
        <v>42</v>
      </c>
      <c r="E344" s="1" t="s">
        <v>630</v>
      </c>
      <c r="F344" s="1" t="s">
        <v>19</v>
      </c>
      <c r="G344" s="1" t="s">
        <v>747</v>
      </c>
      <c r="H344" s="1" t="s">
        <v>241</v>
      </c>
      <c r="I344" s="1" t="s">
        <v>1368</v>
      </c>
      <c r="J344" s="1" t="s">
        <v>1722</v>
      </c>
      <c r="K344" s="1" t="s">
        <v>451</v>
      </c>
      <c r="L344">
        <v>29000000</v>
      </c>
      <c r="M344">
        <v>78600000</v>
      </c>
      <c r="N344">
        <v>49600000</v>
      </c>
      <c r="O344">
        <v>171.03</v>
      </c>
      <c r="P344" t="s">
        <v>40</v>
      </c>
    </row>
    <row r="345" spans="1:16" x14ac:dyDescent="0.3">
      <c r="A345" s="1" t="s">
        <v>1723</v>
      </c>
      <c r="B345" s="2">
        <v>41131</v>
      </c>
      <c r="C345">
        <v>2012</v>
      </c>
      <c r="D345" s="1" t="s">
        <v>25</v>
      </c>
      <c r="E345" s="1" t="s">
        <v>1724</v>
      </c>
      <c r="F345" s="1" t="s">
        <v>19</v>
      </c>
      <c r="G345" s="1" t="s">
        <v>808</v>
      </c>
      <c r="H345" s="1" t="s">
        <v>1725</v>
      </c>
      <c r="I345" s="1" t="s">
        <v>1179</v>
      </c>
      <c r="J345" s="1" t="s">
        <v>105</v>
      </c>
      <c r="K345" s="1" t="s">
        <v>1511</v>
      </c>
      <c r="L345">
        <v>125000000</v>
      </c>
      <c r="M345">
        <v>276100000</v>
      </c>
      <c r="N345">
        <v>151100000</v>
      </c>
      <c r="O345">
        <v>120.88</v>
      </c>
      <c r="P345" t="s">
        <v>40</v>
      </c>
    </row>
    <row r="346" spans="1:16" x14ac:dyDescent="0.3">
      <c r="A346" s="1" t="s">
        <v>1726</v>
      </c>
      <c r="B346" s="2">
        <v>41882</v>
      </c>
      <c r="C346">
        <v>2014</v>
      </c>
      <c r="D346" s="1" t="s">
        <v>445</v>
      </c>
      <c r="E346" s="1" t="s">
        <v>1727</v>
      </c>
      <c r="F346" s="1" t="s">
        <v>1728</v>
      </c>
      <c r="G346" s="1" t="s">
        <v>1548</v>
      </c>
      <c r="H346" s="1" t="s">
        <v>99</v>
      </c>
      <c r="I346" s="1" t="s">
        <v>1729</v>
      </c>
      <c r="J346" s="1" t="s">
        <v>1730</v>
      </c>
      <c r="K346" s="1" t="s">
        <v>1384</v>
      </c>
      <c r="L346">
        <v>60000000</v>
      </c>
      <c r="M346">
        <v>109300000</v>
      </c>
      <c r="N346">
        <v>49300000</v>
      </c>
      <c r="O346">
        <v>82.17</v>
      </c>
      <c r="P346" t="s">
        <v>32</v>
      </c>
    </row>
    <row r="347" spans="1:16" x14ac:dyDescent="0.3">
      <c r="A347" s="1" t="s">
        <v>1731</v>
      </c>
      <c r="B347" s="2">
        <v>42391</v>
      </c>
      <c r="C347">
        <v>2016</v>
      </c>
      <c r="D347" s="1" t="s">
        <v>138</v>
      </c>
      <c r="E347" s="1" t="s">
        <v>1732</v>
      </c>
      <c r="F347" s="1" t="s">
        <v>19</v>
      </c>
      <c r="G347" s="1" t="s">
        <v>1733</v>
      </c>
      <c r="H347" s="1" t="s">
        <v>1734</v>
      </c>
      <c r="I347" s="1" t="s">
        <v>1735</v>
      </c>
      <c r="J347" s="1" t="s">
        <v>1736</v>
      </c>
      <c r="K347" s="1" t="s">
        <v>19</v>
      </c>
      <c r="L347">
        <v>10000000</v>
      </c>
      <c r="M347">
        <v>64200000</v>
      </c>
      <c r="N347">
        <v>54200000</v>
      </c>
      <c r="O347">
        <v>542</v>
      </c>
      <c r="P347" t="s">
        <v>23</v>
      </c>
    </row>
    <row r="348" spans="1:16" x14ac:dyDescent="0.3">
      <c r="A348" s="1" t="s">
        <v>1737</v>
      </c>
      <c r="B348" s="2">
        <v>41502</v>
      </c>
      <c r="C348">
        <v>2013</v>
      </c>
      <c r="D348" s="1" t="s">
        <v>74</v>
      </c>
      <c r="E348" s="1" t="s">
        <v>1738</v>
      </c>
      <c r="F348" s="1" t="s">
        <v>19</v>
      </c>
      <c r="G348" s="1" t="s">
        <v>1605</v>
      </c>
      <c r="H348" s="1" t="s">
        <v>1739</v>
      </c>
      <c r="I348" s="1" t="s">
        <v>108</v>
      </c>
      <c r="J348" s="1" t="s">
        <v>127</v>
      </c>
      <c r="K348" s="1" t="s">
        <v>586</v>
      </c>
      <c r="L348">
        <v>30000000</v>
      </c>
      <c r="M348">
        <v>176600000</v>
      </c>
      <c r="N348">
        <v>146600000</v>
      </c>
      <c r="O348">
        <v>488.67</v>
      </c>
      <c r="P348" t="s">
        <v>23</v>
      </c>
    </row>
    <row r="349" spans="1:16" x14ac:dyDescent="0.3">
      <c r="A349" s="1" t="s">
        <v>1740</v>
      </c>
      <c r="B349" s="2">
        <v>41012</v>
      </c>
      <c r="C349">
        <v>2012</v>
      </c>
      <c r="D349" s="1" t="s">
        <v>138</v>
      </c>
      <c r="E349" s="1" t="s">
        <v>1741</v>
      </c>
      <c r="F349" s="1" t="s">
        <v>19</v>
      </c>
      <c r="G349" s="1" t="s">
        <v>933</v>
      </c>
      <c r="H349" s="1" t="s">
        <v>1742</v>
      </c>
      <c r="I349" s="1" t="s">
        <v>1743</v>
      </c>
      <c r="J349" s="1" t="s">
        <v>317</v>
      </c>
      <c r="K349" s="1" t="s">
        <v>1744</v>
      </c>
      <c r="L349">
        <v>30000000</v>
      </c>
      <c r="M349">
        <v>66500000</v>
      </c>
      <c r="N349">
        <v>36500000</v>
      </c>
      <c r="O349">
        <v>121.67</v>
      </c>
      <c r="P349" t="s">
        <v>40</v>
      </c>
    </row>
    <row r="350" spans="1:16" x14ac:dyDescent="0.3">
      <c r="A350" s="1" t="s">
        <v>1745</v>
      </c>
      <c r="B350" s="2">
        <v>41348</v>
      </c>
      <c r="C350">
        <v>2013</v>
      </c>
      <c r="D350" s="1" t="s">
        <v>286</v>
      </c>
      <c r="E350" s="1" t="s">
        <v>1746</v>
      </c>
      <c r="F350" s="1" t="s">
        <v>19</v>
      </c>
      <c r="G350" s="1" t="s">
        <v>1747</v>
      </c>
      <c r="H350" s="1" t="s">
        <v>1748</v>
      </c>
      <c r="I350" s="1" t="s">
        <v>1749</v>
      </c>
      <c r="J350" s="1" t="s">
        <v>1750</v>
      </c>
      <c r="K350" s="1" t="s">
        <v>1751</v>
      </c>
      <c r="L350">
        <v>13000000</v>
      </c>
      <c r="M350">
        <v>68600000</v>
      </c>
      <c r="N350">
        <v>55600000</v>
      </c>
      <c r="O350">
        <v>427.69</v>
      </c>
      <c r="P350" t="s">
        <v>23</v>
      </c>
    </row>
    <row r="351" spans="1:16" x14ac:dyDescent="0.3">
      <c r="A351" s="1" t="s">
        <v>1752</v>
      </c>
      <c r="B351" s="2">
        <v>41131</v>
      </c>
      <c r="C351">
        <v>2012</v>
      </c>
      <c r="D351" s="1" t="s">
        <v>42</v>
      </c>
      <c r="E351" s="1" t="s">
        <v>1753</v>
      </c>
      <c r="F351" s="1" t="s">
        <v>19</v>
      </c>
      <c r="G351" s="1" t="s">
        <v>476</v>
      </c>
      <c r="H351" s="1" t="s">
        <v>1754</v>
      </c>
      <c r="I351" s="1" t="s">
        <v>642</v>
      </c>
      <c r="J351" s="1" t="s">
        <v>1755</v>
      </c>
      <c r="K351" s="1" t="s">
        <v>1272</v>
      </c>
      <c r="L351">
        <v>95000000</v>
      </c>
      <c r="M351">
        <v>104900000</v>
      </c>
      <c r="N351">
        <v>9900000</v>
      </c>
      <c r="O351">
        <v>10.42</v>
      </c>
      <c r="P351" t="s">
        <v>32</v>
      </c>
    </row>
    <row r="352" spans="1:16" x14ac:dyDescent="0.3">
      <c r="A352" s="1" t="s">
        <v>1756</v>
      </c>
      <c r="B352" s="2">
        <v>41159</v>
      </c>
      <c r="C352">
        <v>2012</v>
      </c>
      <c r="D352" s="1" t="s">
        <v>25</v>
      </c>
      <c r="E352" s="1" t="s">
        <v>1757</v>
      </c>
      <c r="F352" s="1" t="s">
        <v>19</v>
      </c>
      <c r="G352" s="1" t="s">
        <v>251</v>
      </c>
      <c r="H352" s="1" t="s">
        <v>82</v>
      </c>
      <c r="I352" s="1" t="s">
        <v>1758</v>
      </c>
      <c r="J352" s="1" t="s">
        <v>1759</v>
      </c>
      <c r="K352" s="1" t="s">
        <v>1760</v>
      </c>
      <c r="L352">
        <v>20000000</v>
      </c>
      <c r="M352">
        <v>16900000</v>
      </c>
      <c r="N352">
        <v>-3100000</v>
      </c>
      <c r="O352">
        <v>-15.5</v>
      </c>
      <c r="P352" t="s">
        <v>72</v>
      </c>
    </row>
    <row r="353" spans="1:16" x14ac:dyDescent="0.3">
      <c r="A353" s="1" t="s">
        <v>1761</v>
      </c>
      <c r="B353" s="2">
        <v>41243</v>
      </c>
      <c r="C353">
        <v>2012</v>
      </c>
      <c r="D353" s="1" t="s">
        <v>138</v>
      </c>
      <c r="E353" s="1" t="s">
        <v>1762</v>
      </c>
      <c r="F353" s="1" t="s">
        <v>19</v>
      </c>
      <c r="G353" s="1" t="s">
        <v>1763</v>
      </c>
      <c r="H353" s="1" t="s">
        <v>1764</v>
      </c>
      <c r="I353" s="1" t="s">
        <v>19</v>
      </c>
      <c r="J353" s="1" t="s">
        <v>19</v>
      </c>
      <c r="K353" s="1" t="s">
        <v>19</v>
      </c>
      <c r="L353">
        <v>10000000</v>
      </c>
      <c r="M353">
        <v>8900000</v>
      </c>
      <c r="N353">
        <v>-1100000</v>
      </c>
      <c r="O353">
        <v>-11</v>
      </c>
      <c r="P353" t="s">
        <v>72</v>
      </c>
    </row>
    <row r="354" spans="1:16" x14ac:dyDescent="0.3">
      <c r="A354" s="1" t="s">
        <v>1765</v>
      </c>
      <c r="B354" s="2">
        <v>41474</v>
      </c>
      <c r="C354">
        <v>2013</v>
      </c>
      <c r="D354" s="1" t="s">
        <v>17</v>
      </c>
      <c r="E354" s="1" t="s">
        <v>902</v>
      </c>
      <c r="F354" s="1" t="s">
        <v>19</v>
      </c>
      <c r="G354" s="1" t="s">
        <v>903</v>
      </c>
      <c r="H354" s="1" t="s">
        <v>1766</v>
      </c>
      <c r="I354" s="1" t="s">
        <v>1767</v>
      </c>
      <c r="J354" s="1" t="s">
        <v>1768</v>
      </c>
      <c r="K354" s="1" t="s">
        <v>1769</v>
      </c>
      <c r="L354">
        <v>20000000</v>
      </c>
      <c r="M354">
        <v>318000000</v>
      </c>
      <c r="N354">
        <v>298000000</v>
      </c>
      <c r="O354">
        <v>1490</v>
      </c>
      <c r="P354" t="s">
        <v>23</v>
      </c>
    </row>
    <row r="355" spans="1:16" x14ac:dyDescent="0.3">
      <c r="A355" s="1" t="s">
        <v>1770</v>
      </c>
      <c r="B355" s="2">
        <v>42528</v>
      </c>
      <c r="C355">
        <v>2016</v>
      </c>
      <c r="D355" s="1" t="s">
        <v>138</v>
      </c>
      <c r="E355" s="1" t="s">
        <v>902</v>
      </c>
      <c r="F355" s="1" t="s">
        <v>19</v>
      </c>
      <c r="G355" s="1" t="s">
        <v>903</v>
      </c>
      <c r="H355" s="1" t="s">
        <v>1766</v>
      </c>
      <c r="I355" s="1" t="s">
        <v>19</v>
      </c>
      <c r="J355" s="1" t="s">
        <v>19</v>
      </c>
      <c r="K355" s="1" t="s">
        <v>19</v>
      </c>
      <c r="L355">
        <v>40000000</v>
      </c>
      <c r="M355">
        <v>319500000</v>
      </c>
      <c r="N355">
        <v>279500000</v>
      </c>
      <c r="O355">
        <v>698.75</v>
      </c>
      <c r="P355" t="s">
        <v>23</v>
      </c>
    </row>
    <row r="356" spans="1:16" x14ac:dyDescent="0.3">
      <c r="A356" s="1" t="s">
        <v>1771</v>
      </c>
      <c r="B356" s="2">
        <v>41355</v>
      </c>
      <c r="C356">
        <v>2013</v>
      </c>
      <c r="D356" s="1" t="s">
        <v>132</v>
      </c>
      <c r="E356" s="1" t="s">
        <v>1772</v>
      </c>
      <c r="F356" s="1" t="s">
        <v>1773</v>
      </c>
      <c r="G356" s="1" t="s">
        <v>740</v>
      </c>
      <c r="H356" s="1" t="s">
        <v>504</v>
      </c>
      <c r="I356" s="1" t="s">
        <v>169</v>
      </c>
      <c r="J356" s="1" t="s">
        <v>629</v>
      </c>
      <c r="K356" s="1" t="s">
        <v>122</v>
      </c>
      <c r="L356">
        <v>135000000</v>
      </c>
      <c r="M356">
        <v>587200000</v>
      </c>
      <c r="N356">
        <v>452200000</v>
      </c>
      <c r="O356">
        <v>334.96</v>
      </c>
      <c r="P356" t="s">
        <v>23</v>
      </c>
    </row>
    <row r="357" spans="1:16" x14ac:dyDescent="0.3">
      <c r="A357" s="1" t="s">
        <v>1774</v>
      </c>
      <c r="B357" s="2">
        <v>42252</v>
      </c>
      <c r="C357">
        <v>2015</v>
      </c>
      <c r="D357" s="1" t="s">
        <v>74</v>
      </c>
      <c r="E357" s="1" t="s">
        <v>1033</v>
      </c>
      <c r="F357" s="1" t="s">
        <v>19</v>
      </c>
      <c r="G357" s="1" t="s">
        <v>1035</v>
      </c>
      <c r="H357" s="1" t="s">
        <v>658</v>
      </c>
      <c r="I357" s="1" t="s">
        <v>1775</v>
      </c>
      <c r="J357" s="1" t="s">
        <v>443</v>
      </c>
      <c r="K357" s="1" t="s">
        <v>19</v>
      </c>
      <c r="L357">
        <v>15000000</v>
      </c>
      <c r="M357">
        <v>64200000</v>
      </c>
      <c r="N357">
        <v>49200000</v>
      </c>
      <c r="O357">
        <v>328</v>
      </c>
      <c r="P357" t="s">
        <v>23</v>
      </c>
    </row>
    <row r="358" spans="1:16" x14ac:dyDescent="0.3">
      <c r="A358" s="1" t="s">
        <v>1776</v>
      </c>
      <c r="B358" s="2">
        <v>42503</v>
      </c>
      <c r="C358">
        <v>2016</v>
      </c>
      <c r="D358" s="1" t="s">
        <v>138</v>
      </c>
      <c r="E358" s="1" t="s">
        <v>1777</v>
      </c>
      <c r="F358" s="1" t="s">
        <v>19</v>
      </c>
      <c r="G358" s="1" t="s">
        <v>1425</v>
      </c>
      <c r="H358" s="1" t="s">
        <v>1570</v>
      </c>
      <c r="I358" s="1" t="s">
        <v>1778</v>
      </c>
      <c r="J358" s="1" t="s">
        <v>1779</v>
      </c>
      <c r="K358" s="1" t="s">
        <v>1780</v>
      </c>
      <c r="L358">
        <v>4000000</v>
      </c>
      <c r="M358">
        <v>10900000</v>
      </c>
      <c r="N358">
        <v>6900000</v>
      </c>
      <c r="O358">
        <v>172.5</v>
      </c>
      <c r="P358" t="s">
        <v>40</v>
      </c>
    </row>
    <row r="359" spans="1:16" x14ac:dyDescent="0.3">
      <c r="A359" s="1" t="s">
        <v>1781</v>
      </c>
      <c r="B359" s="2">
        <v>40914</v>
      </c>
      <c r="C359">
        <v>2012</v>
      </c>
      <c r="D359" s="1" t="s">
        <v>138</v>
      </c>
      <c r="E359" s="1" t="s">
        <v>1732</v>
      </c>
      <c r="F359" s="1" t="s">
        <v>19</v>
      </c>
      <c r="G359" s="1" t="s">
        <v>1782</v>
      </c>
      <c r="H359" s="1" t="s">
        <v>1783</v>
      </c>
      <c r="I359" s="1" t="s">
        <v>1784</v>
      </c>
      <c r="J359" s="1" t="s">
        <v>1785</v>
      </c>
      <c r="K359" s="1" t="s">
        <v>19</v>
      </c>
      <c r="L359">
        <v>1000000</v>
      </c>
      <c r="M359">
        <v>101800000</v>
      </c>
      <c r="N359">
        <v>100800000</v>
      </c>
      <c r="O359">
        <v>10080</v>
      </c>
      <c r="P359" t="s">
        <v>23</v>
      </c>
    </row>
    <row r="360" spans="1:16" x14ac:dyDescent="0.3">
      <c r="A360" s="1" t="s">
        <v>1786</v>
      </c>
      <c r="B360" s="2">
        <v>41045</v>
      </c>
      <c r="C360">
        <v>2012</v>
      </c>
      <c r="D360" s="1" t="s">
        <v>42</v>
      </c>
      <c r="E360" s="1" t="s">
        <v>1787</v>
      </c>
      <c r="F360" s="1" t="s">
        <v>19</v>
      </c>
      <c r="G360" s="1" t="s">
        <v>1096</v>
      </c>
      <c r="H360" s="1" t="s">
        <v>1548</v>
      </c>
      <c r="I360" s="1" t="s">
        <v>448</v>
      </c>
      <c r="J360" s="1" t="s">
        <v>1662</v>
      </c>
      <c r="K360" s="1" t="s">
        <v>1788</v>
      </c>
      <c r="L360">
        <v>65000000</v>
      </c>
      <c r="M360">
        <v>179400000</v>
      </c>
      <c r="N360">
        <v>114400000</v>
      </c>
      <c r="O360">
        <v>176</v>
      </c>
      <c r="P360" t="s">
        <v>40</v>
      </c>
    </row>
    <row r="361" spans="1:16" x14ac:dyDescent="0.3">
      <c r="A361" s="1" t="s">
        <v>1789</v>
      </c>
      <c r="B361" s="2">
        <v>42447</v>
      </c>
      <c r="C361">
        <v>2016</v>
      </c>
      <c r="D361" s="1" t="s">
        <v>132</v>
      </c>
      <c r="E361" s="1" t="s">
        <v>1423</v>
      </c>
      <c r="F361" s="1" t="s">
        <v>19</v>
      </c>
      <c r="G361" s="1" t="s">
        <v>544</v>
      </c>
      <c r="H361" s="1" t="s">
        <v>546</v>
      </c>
      <c r="I361" s="1" t="s">
        <v>1614</v>
      </c>
      <c r="J361" s="1" t="s">
        <v>593</v>
      </c>
      <c r="K361" s="1" t="s">
        <v>547</v>
      </c>
      <c r="L361">
        <v>110000000</v>
      </c>
      <c r="M361">
        <v>179200000</v>
      </c>
      <c r="N361">
        <v>69200000</v>
      </c>
      <c r="O361">
        <v>62.91</v>
      </c>
      <c r="P361" t="s">
        <v>32</v>
      </c>
    </row>
    <row r="362" spans="1:16" x14ac:dyDescent="0.3">
      <c r="A362" s="1" t="s">
        <v>1790</v>
      </c>
      <c r="B362" s="2">
        <v>42082</v>
      </c>
      <c r="C362">
        <v>2015</v>
      </c>
      <c r="D362" s="1" t="s">
        <v>145</v>
      </c>
      <c r="E362" s="1" t="s">
        <v>1423</v>
      </c>
      <c r="F362" s="1" t="s">
        <v>19</v>
      </c>
      <c r="G362" s="1" t="s">
        <v>544</v>
      </c>
      <c r="H362" s="1" t="s">
        <v>545</v>
      </c>
      <c r="I362" s="1" t="s">
        <v>546</v>
      </c>
      <c r="J362" s="1" t="s">
        <v>547</v>
      </c>
      <c r="K362" s="1" t="s">
        <v>1614</v>
      </c>
      <c r="L362">
        <v>110000000</v>
      </c>
      <c r="M362">
        <v>297300000</v>
      </c>
      <c r="N362">
        <v>187300000</v>
      </c>
      <c r="O362">
        <v>170.27</v>
      </c>
      <c r="P362" t="s">
        <v>40</v>
      </c>
    </row>
    <row r="363" spans="1:16" x14ac:dyDescent="0.3">
      <c r="A363" s="1" t="s">
        <v>1791</v>
      </c>
      <c r="B363" s="2">
        <v>41894</v>
      </c>
      <c r="C363">
        <v>2014</v>
      </c>
      <c r="D363" s="1" t="s">
        <v>74</v>
      </c>
      <c r="E363" s="1" t="s">
        <v>1792</v>
      </c>
      <c r="F363" s="1" t="s">
        <v>19</v>
      </c>
      <c r="G363" s="1" t="s">
        <v>427</v>
      </c>
      <c r="H363" s="1" t="s">
        <v>430</v>
      </c>
      <c r="I363" s="1" t="s">
        <v>627</v>
      </c>
      <c r="J363" s="1" t="s">
        <v>1775</v>
      </c>
      <c r="K363" s="1" t="s">
        <v>318</v>
      </c>
      <c r="L363">
        <v>12600000</v>
      </c>
      <c r="M363">
        <v>18700000</v>
      </c>
      <c r="N363">
        <v>6100000</v>
      </c>
      <c r="O363">
        <v>48.41</v>
      </c>
      <c r="P363" t="s">
        <v>32</v>
      </c>
    </row>
    <row r="364" spans="1:16" x14ac:dyDescent="0.3">
      <c r="A364" s="1" t="s">
        <v>1793</v>
      </c>
      <c r="B364" s="2">
        <v>42047</v>
      </c>
      <c r="C364">
        <v>2015</v>
      </c>
      <c r="D364" s="1" t="s">
        <v>42</v>
      </c>
      <c r="E364" s="1" t="s">
        <v>1794</v>
      </c>
      <c r="F364" s="1" t="s">
        <v>19</v>
      </c>
      <c r="G364" s="1" t="s">
        <v>1795</v>
      </c>
      <c r="H364" s="1" t="s">
        <v>1234</v>
      </c>
      <c r="I364" s="1" t="s">
        <v>178</v>
      </c>
      <c r="J364" s="1" t="s">
        <v>1796</v>
      </c>
      <c r="K364" s="1" t="s">
        <v>123</v>
      </c>
      <c r="L364">
        <v>8500000</v>
      </c>
      <c r="M364">
        <v>43500000</v>
      </c>
      <c r="N364">
        <v>35000000</v>
      </c>
      <c r="O364">
        <v>411.76</v>
      </c>
      <c r="P364" t="s">
        <v>23</v>
      </c>
    </row>
    <row r="365" spans="1:16" x14ac:dyDescent="0.3">
      <c r="A365" s="1" t="s">
        <v>1797</v>
      </c>
      <c r="B365" s="2">
        <v>41425</v>
      </c>
      <c r="C365">
        <v>2013</v>
      </c>
      <c r="D365" s="1" t="s">
        <v>125</v>
      </c>
      <c r="E365" s="1" t="s">
        <v>1798</v>
      </c>
      <c r="F365" s="1" t="s">
        <v>19</v>
      </c>
      <c r="G365" s="1" t="s">
        <v>1799</v>
      </c>
      <c r="H365" s="1" t="s">
        <v>1800</v>
      </c>
      <c r="I365" s="1" t="s">
        <v>1801</v>
      </c>
      <c r="J365" s="1" t="s">
        <v>1802</v>
      </c>
      <c r="K365" s="1" t="s">
        <v>1123</v>
      </c>
      <c r="L365">
        <v>6500000</v>
      </c>
      <c r="M365">
        <v>2400000</v>
      </c>
      <c r="N365">
        <v>-4100000</v>
      </c>
      <c r="O365">
        <v>-63.08</v>
      </c>
      <c r="P365" t="s">
        <v>72</v>
      </c>
    </row>
    <row r="366" spans="1:16" x14ac:dyDescent="0.3">
      <c r="A366" s="1" t="s">
        <v>1803</v>
      </c>
      <c r="B366" s="2">
        <v>41889</v>
      </c>
      <c r="C366">
        <v>2014</v>
      </c>
      <c r="D366" s="1" t="s">
        <v>17</v>
      </c>
      <c r="E366" s="1" t="s">
        <v>1270</v>
      </c>
      <c r="F366" s="1" t="s">
        <v>19</v>
      </c>
      <c r="G366" s="1" t="s">
        <v>36</v>
      </c>
      <c r="H366" s="1" t="s">
        <v>885</v>
      </c>
      <c r="I366" s="1" t="s">
        <v>1804</v>
      </c>
      <c r="J366" s="1" t="s">
        <v>1805</v>
      </c>
      <c r="K366" s="1" t="s">
        <v>897</v>
      </c>
      <c r="L366">
        <v>55000000</v>
      </c>
      <c r="M366">
        <v>192300000</v>
      </c>
      <c r="N366">
        <v>137300000</v>
      </c>
      <c r="O366">
        <v>249.64</v>
      </c>
      <c r="P366" t="s">
        <v>40</v>
      </c>
    </row>
    <row r="367" spans="1:16" x14ac:dyDescent="0.3">
      <c r="A367" s="1" t="s">
        <v>1806</v>
      </c>
      <c r="B367" s="2">
        <v>41138</v>
      </c>
      <c r="C367">
        <v>2012</v>
      </c>
      <c r="D367" s="1" t="s">
        <v>25</v>
      </c>
      <c r="E367" s="1" t="s">
        <v>1807</v>
      </c>
      <c r="F367" s="1" t="s">
        <v>19</v>
      </c>
      <c r="G367" s="1" t="s">
        <v>358</v>
      </c>
      <c r="H367" s="1" t="s">
        <v>1138</v>
      </c>
      <c r="I367" s="1" t="s">
        <v>1808</v>
      </c>
      <c r="J367" s="1" t="s">
        <v>326</v>
      </c>
      <c r="K367" s="1" t="s">
        <v>1809</v>
      </c>
      <c r="L367">
        <v>100000000</v>
      </c>
      <c r="M367">
        <v>305400000</v>
      </c>
      <c r="N367">
        <v>205400000</v>
      </c>
      <c r="O367">
        <v>205.4</v>
      </c>
      <c r="P367" t="s">
        <v>40</v>
      </c>
    </row>
    <row r="368" spans="1:16" x14ac:dyDescent="0.3">
      <c r="A368" s="1" t="s">
        <v>1810</v>
      </c>
      <c r="B368" s="2">
        <v>41855</v>
      </c>
      <c r="C368">
        <v>2014</v>
      </c>
      <c r="D368" s="1" t="s">
        <v>25</v>
      </c>
      <c r="E368" s="1" t="s">
        <v>1811</v>
      </c>
      <c r="F368" s="1" t="s">
        <v>19</v>
      </c>
      <c r="G368" s="1" t="s">
        <v>358</v>
      </c>
      <c r="H368" s="1" t="s">
        <v>1523</v>
      </c>
      <c r="I368" s="1" t="s">
        <v>61</v>
      </c>
      <c r="J368" s="1" t="s">
        <v>1812</v>
      </c>
      <c r="K368" s="1" t="s">
        <v>1138</v>
      </c>
      <c r="L368">
        <v>90000000</v>
      </c>
      <c r="M368">
        <v>206200000</v>
      </c>
      <c r="N368">
        <v>116200000</v>
      </c>
      <c r="O368">
        <v>129.11000000000001</v>
      </c>
      <c r="P368" t="s">
        <v>40</v>
      </c>
    </row>
    <row r="369" spans="1:16" x14ac:dyDescent="0.3">
      <c r="A369" s="1" t="s">
        <v>1813</v>
      </c>
      <c r="B369" s="2">
        <v>41530</v>
      </c>
      <c r="C369">
        <v>2013</v>
      </c>
      <c r="D369" s="1" t="s">
        <v>125</v>
      </c>
      <c r="E369" s="1" t="s">
        <v>1085</v>
      </c>
      <c r="F369" s="1" t="s">
        <v>19</v>
      </c>
      <c r="G369" s="1" t="s">
        <v>802</v>
      </c>
      <c r="H369" s="1" t="s">
        <v>485</v>
      </c>
      <c r="I369" s="1" t="s">
        <v>1814</v>
      </c>
      <c r="J369" s="1" t="s">
        <v>464</v>
      </c>
      <c r="K369" s="1" t="s">
        <v>1815</v>
      </c>
      <c r="L369">
        <v>30000000</v>
      </c>
      <c r="M369">
        <v>78400000</v>
      </c>
      <c r="N369">
        <v>48400000</v>
      </c>
      <c r="O369">
        <v>161.33000000000001</v>
      </c>
      <c r="P369" t="s">
        <v>40</v>
      </c>
    </row>
    <row r="370" spans="1:16" x14ac:dyDescent="0.3">
      <c r="A370" s="1" t="s">
        <v>1816</v>
      </c>
      <c r="B370" s="2">
        <v>41775</v>
      </c>
      <c r="C370">
        <v>2014</v>
      </c>
      <c r="D370" s="1" t="s">
        <v>74</v>
      </c>
      <c r="E370" s="1" t="s">
        <v>1817</v>
      </c>
      <c r="F370" s="1" t="s">
        <v>19</v>
      </c>
      <c r="G370" s="1" t="s">
        <v>544</v>
      </c>
      <c r="H370" s="1" t="s">
        <v>547</v>
      </c>
      <c r="I370" s="1" t="s">
        <v>19</v>
      </c>
      <c r="J370" s="1" t="s">
        <v>19</v>
      </c>
      <c r="K370" s="1" t="s">
        <v>19</v>
      </c>
      <c r="L370">
        <v>13000000</v>
      </c>
      <c r="M370">
        <v>307200000</v>
      </c>
      <c r="N370">
        <v>294200000</v>
      </c>
      <c r="O370">
        <v>2263.08</v>
      </c>
      <c r="P370" t="s">
        <v>23</v>
      </c>
    </row>
    <row r="371" spans="1:16" x14ac:dyDescent="0.3">
      <c r="A371" s="1" t="s">
        <v>1818</v>
      </c>
      <c r="B371" s="2">
        <v>41026</v>
      </c>
      <c r="C371">
        <v>2012</v>
      </c>
      <c r="D371" s="1" t="s">
        <v>42</v>
      </c>
      <c r="E371" s="1" t="s">
        <v>1213</v>
      </c>
      <c r="F371" s="1" t="s">
        <v>19</v>
      </c>
      <c r="G371" s="1" t="s">
        <v>954</v>
      </c>
      <c r="H371" s="1" t="s">
        <v>609</v>
      </c>
      <c r="I371" s="1" t="s">
        <v>1819</v>
      </c>
      <c r="J371" s="1" t="s">
        <v>722</v>
      </c>
      <c r="K371" s="1" t="s">
        <v>1820</v>
      </c>
      <c r="L371">
        <v>30000000</v>
      </c>
      <c r="M371">
        <v>53900000</v>
      </c>
      <c r="N371">
        <v>23900000</v>
      </c>
      <c r="O371">
        <v>79.67</v>
      </c>
      <c r="P371" t="s">
        <v>32</v>
      </c>
    </row>
    <row r="372" spans="1:16" x14ac:dyDescent="0.3">
      <c r="A372" s="1" t="s">
        <v>1821</v>
      </c>
      <c r="B372" s="2">
        <v>42377</v>
      </c>
      <c r="C372">
        <v>2016</v>
      </c>
      <c r="D372" s="1" t="s">
        <v>138</v>
      </c>
      <c r="E372" s="1" t="s">
        <v>1822</v>
      </c>
      <c r="F372" s="1" t="s">
        <v>19</v>
      </c>
      <c r="G372" s="1" t="s">
        <v>1823</v>
      </c>
      <c r="H372" s="1" t="s">
        <v>1824</v>
      </c>
      <c r="I372" s="1" t="s">
        <v>19</v>
      </c>
      <c r="J372" s="1" t="s">
        <v>19</v>
      </c>
      <c r="K372" s="1" t="s">
        <v>19</v>
      </c>
      <c r="L372">
        <v>10000000</v>
      </c>
      <c r="M372">
        <v>37600000</v>
      </c>
      <c r="N372">
        <v>27600000</v>
      </c>
      <c r="O372">
        <v>276</v>
      </c>
      <c r="P372" t="s">
        <v>40</v>
      </c>
    </row>
    <row r="373" spans="1:16" x14ac:dyDescent="0.3">
      <c r="A373" s="1" t="s">
        <v>1825</v>
      </c>
      <c r="B373" s="2">
        <v>42215</v>
      </c>
      <c r="C373">
        <v>2015</v>
      </c>
      <c r="D373" s="1" t="s">
        <v>17</v>
      </c>
      <c r="E373" s="1" t="s">
        <v>312</v>
      </c>
      <c r="F373" s="1" t="s">
        <v>19</v>
      </c>
      <c r="G373" s="1" t="s">
        <v>845</v>
      </c>
      <c r="H373" s="1" t="s">
        <v>1826</v>
      </c>
      <c r="I373" s="1" t="s">
        <v>312</v>
      </c>
      <c r="J373" s="1" t="s">
        <v>19</v>
      </c>
      <c r="K373" s="1" t="s">
        <v>19</v>
      </c>
      <c r="L373">
        <v>5000000</v>
      </c>
      <c r="M373">
        <v>59000000</v>
      </c>
      <c r="N373">
        <v>54000000</v>
      </c>
      <c r="O373">
        <v>1080</v>
      </c>
      <c r="P373" t="s">
        <v>23</v>
      </c>
    </row>
    <row r="374" spans="1:16" x14ac:dyDescent="0.3">
      <c r="A374" s="1" t="s">
        <v>1827</v>
      </c>
      <c r="B374" s="2">
        <v>41862</v>
      </c>
      <c r="C374">
        <v>2014</v>
      </c>
      <c r="D374" s="1" t="s">
        <v>145</v>
      </c>
      <c r="E374" s="1" t="s">
        <v>1828</v>
      </c>
      <c r="F374" s="1" t="s">
        <v>19</v>
      </c>
      <c r="G374" s="1" t="s">
        <v>1424</v>
      </c>
      <c r="H374" s="1" t="s">
        <v>765</v>
      </c>
      <c r="I374" s="1" t="s">
        <v>679</v>
      </c>
      <c r="J374" s="1" t="s">
        <v>271</v>
      </c>
      <c r="K374" s="1" t="s">
        <v>1829</v>
      </c>
      <c r="L374">
        <v>25000000</v>
      </c>
      <c r="M374">
        <v>67000000</v>
      </c>
      <c r="N374">
        <v>42000000</v>
      </c>
      <c r="O374">
        <v>168</v>
      </c>
      <c r="P374" t="s">
        <v>40</v>
      </c>
    </row>
    <row r="375" spans="1:16" x14ac:dyDescent="0.3">
      <c r="A375" s="1" t="s">
        <v>1830</v>
      </c>
      <c r="B375" s="2">
        <v>41676</v>
      </c>
      <c r="C375">
        <v>2014</v>
      </c>
      <c r="D375" s="1" t="s">
        <v>42</v>
      </c>
      <c r="E375" s="1" t="s">
        <v>1176</v>
      </c>
      <c r="F375" s="1" t="s">
        <v>19</v>
      </c>
      <c r="G375" s="1" t="s">
        <v>799</v>
      </c>
      <c r="H375" s="1" t="s">
        <v>1831</v>
      </c>
      <c r="I375" s="1" t="s">
        <v>1832</v>
      </c>
      <c r="J375" s="1" t="s">
        <v>1833</v>
      </c>
      <c r="K375" s="1" t="s">
        <v>587</v>
      </c>
      <c r="L375">
        <v>23000000</v>
      </c>
      <c r="M375">
        <v>174800000</v>
      </c>
      <c r="N375">
        <v>151800000</v>
      </c>
      <c r="O375">
        <v>660</v>
      </c>
      <c r="P375" t="s">
        <v>23</v>
      </c>
    </row>
    <row r="376" spans="1:16" x14ac:dyDescent="0.3">
      <c r="A376" s="1" t="s">
        <v>1834</v>
      </c>
      <c r="B376" s="2">
        <v>41404</v>
      </c>
      <c r="C376">
        <v>2013</v>
      </c>
      <c r="D376" s="1" t="s">
        <v>74</v>
      </c>
      <c r="E376" s="1" t="s">
        <v>1835</v>
      </c>
      <c r="F376" s="1" t="s">
        <v>19</v>
      </c>
      <c r="G376" s="1" t="s">
        <v>551</v>
      </c>
      <c r="H376" s="1" t="s">
        <v>1338</v>
      </c>
      <c r="I376" s="1" t="s">
        <v>312</v>
      </c>
      <c r="J376" s="1" t="s">
        <v>1644</v>
      </c>
      <c r="K376" s="1" t="s">
        <v>1260</v>
      </c>
      <c r="L376">
        <v>105000000</v>
      </c>
      <c r="M376">
        <v>351000000</v>
      </c>
      <c r="N376">
        <v>246000000</v>
      </c>
      <c r="O376">
        <v>234.29</v>
      </c>
      <c r="P376" t="s">
        <v>40</v>
      </c>
    </row>
    <row r="377" spans="1:16" x14ac:dyDescent="0.3">
      <c r="A377" s="1" t="s">
        <v>1836</v>
      </c>
      <c r="B377" s="2">
        <v>40935</v>
      </c>
      <c r="C377">
        <v>2012</v>
      </c>
      <c r="D377" s="1" t="s">
        <v>25</v>
      </c>
      <c r="E377" s="1" t="s">
        <v>1837</v>
      </c>
      <c r="F377" s="1" t="s">
        <v>19</v>
      </c>
      <c r="G377" s="1" t="s">
        <v>127</v>
      </c>
      <c r="H377" s="1" t="s">
        <v>624</v>
      </c>
      <c r="I377" s="1" t="s">
        <v>908</v>
      </c>
      <c r="J377" s="1" t="s">
        <v>1838</v>
      </c>
      <c r="K377" s="1" t="s">
        <v>19</v>
      </c>
      <c r="L377">
        <v>25000000</v>
      </c>
      <c r="M377">
        <v>77300000</v>
      </c>
      <c r="N377">
        <v>52300000</v>
      </c>
      <c r="O377">
        <v>209.2</v>
      </c>
      <c r="P377" t="s">
        <v>40</v>
      </c>
    </row>
    <row r="378" spans="1:16" x14ac:dyDescent="0.3">
      <c r="A378" s="1" t="s">
        <v>1839</v>
      </c>
      <c r="B378" s="2">
        <v>42083</v>
      </c>
      <c r="C378">
        <v>2015</v>
      </c>
      <c r="D378" s="1" t="s">
        <v>17</v>
      </c>
      <c r="E378" s="1" t="s">
        <v>1840</v>
      </c>
      <c r="F378" s="1" t="s">
        <v>19</v>
      </c>
      <c r="G378" s="1" t="s">
        <v>717</v>
      </c>
      <c r="H378" s="1" t="s">
        <v>1841</v>
      </c>
      <c r="I378" s="1" t="s">
        <v>1252</v>
      </c>
      <c r="J378" s="1" t="s">
        <v>741</v>
      </c>
      <c r="K378" s="1" t="s">
        <v>345</v>
      </c>
      <c r="L378">
        <v>40000000</v>
      </c>
      <c r="M378">
        <v>24200000</v>
      </c>
      <c r="N378">
        <v>-15800000</v>
      </c>
      <c r="O378">
        <v>-39.5</v>
      </c>
      <c r="P378" t="s">
        <v>72</v>
      </c>
    </row>
    <row r="379" spans="1:16" x14ac:dyDescent="0.3">
      <c r="A379" s="1" t="s">
        <v>1842</v>
      </c>
      <c r="B379" s="2">
        <v>41417</v>
      </c>
      <c r="C379">
        <v>2013</v>
      </c>
      <c r="D379" s="1" t="s">
        <v>42</v>
      </c>
      <c r="E379" s="1" t="s">
        <v>1843</v>
      </c>
      <c r="F379" s="1" t="s">
        <v>19</v>
      </c>
      <c r="G379" s="1" t="s">
        <v>168</v>
      </c>
      <c r="H379" s="1" t="s">
        <v>1754</v>
      </c>
      <c r="I379" s="1" t="s">
        <v>570</v>
      </c>
      <c r="J379" s="1" t="s">
        <v>1844</v>
      </c>
      <c r="K379" s="1" t="s">
        <v>1303</v>
      </c>
      <c r="L379">
        <v>103000000</v>
      </c>
      <c r="M379">
        <v>362000000</v>
      </c>
      <c r="N379">
        <v>259000000</v>
      </c>
      <c r="O379">
        <v>251.46</v>
      </c>
      <c r="P379" t="s">
        <v>40</v>
      </c>
    </row>
    <row r="380" spans="1:16" x14ac:dyDescent="0.3">
      <c r="A380" s="1" t="s">
        <v>1845</v>
      </c>
      <c r="B380" s="2">
        <v>42363</v>
      </c>
      <c r="C380">
        <v>2015</v>
      </c>
      <c r="D380" s="1" t="s">
        <v>74</v>
      </c>
      <c r="E380" s="1" t="s">
        <v>550</v>
      </c>
      <c r="F380" s="1" t="s">
        <v>19</v>
      </c>
      <c r="G380" s="1" t="s">
        <v>552</v>
      </c>
      <c r="H380" s="1" t="s">
        <v>1846</v>
      </c>
      <c r="I380" s="1" t="s">
        <v>1847</v>
      </c>
      <c r="J380" s="1" t="s">
        <v>1848</v>
      </c>
      <c r="K380" s="1" t="s">
        <v>1849</v>
      </c>
      <c r="L380">
        <v>44000000</v>
      </c>
      <c r="M380">
        <v>155800000</v>
      </c>
      <c r="N380">
        <v>111800000</v>
      </c>
      <c r="O380">
        <v>254.09</v>
      </c>
      <c r="P380" t="s">
        <v>40</v>
      </c>
    </row>
    <row r="381" spans="1:16" x14ac:dyDescent="0.3">
      <c r="A381" s="1" t="s">
        <v>1850</v>
      </c>
      <c r="B381" s="2">
        <v>41453</v>
      </c>
      <c r="C381">
        <v>2013</v>
      </c>
      <c r="D381" s="1" t="s">
        <v>25</v>
      </c>
      <c r="E381" s="1" t="s">
        <v>746</v>
      </c>
      <c r="F381" s="1" t="s">
        <v>19</v>
      </c>
      <c r="G381" s="1" t="s">
        <v>1296</v>
      </c>
      <c r="H381" s="1" t="s">
        <v>747</v>
      </c>
      <c r="I381" s="1" t="s">
        <v>1851</v>
      </c>
      <c r="J381" s="1" t="s">
        <v>175</v>
      </c>
      <c r="K381" s="1" t="s">
        <v>1852</v>
      </c>
      <c r="L381">
        <v>43000000</v>
      </c>
      <c r="M381">
        <v>229900000</v>
      </c>
      <c r="N381">
        <v>186900000</v>
      </c>
      <c r="O381">
        <v>434.65</v>
      </c>
      <c r="P381" t="s">
        <v>23</v>
      </c>
    </row>
    <row r="382" spans="1:16" x14ac:dyDescent="0.3">
      <c r="A382" s="1" t="s">
        <v>1853</v>
      </c>
      <c r="B382" s="2">
        <v>41974</v>
      </c>
      <c r="C382">
        <v>2014</v>
      </c>
      <c r="D382" s="1" t="s">
        <v>132</v>
      </c>
      <c r="E382" s="1" t="s">
        <v>1854</v>
      </c>
      <c r="F382" s="1" t="s">
        <v>19</v>
      </c>
      <c r="G382" s="1" t="s">
        <v>1855</v>
      </c>
      <c r="H382" s="1" t="s">
        <v>1856</v>
      </c>
      <c r="I382" s="1" t="s">
        <v>917</v>
      </c>
      <c r="J382" s="1" t="s">
        <v>221</v>
      </c>
      <c r="K382" s="1" t="s">
        <v>573</v>
      </c>
      <c r="L382">
        <v>250000000</v>
      </c>
      <c r="M382">
        <v>956000000</v>
      </c>
      <c r="N382">
        <v>706000000</v>
      </c>
      <c r="O382">
        <v>282.39999999999998</v>
      </c>
      <c r="P382" t="s">
        <v>40</v>
      </c>
    </row>
    <row r="383" spans="1:16" x14ac:dyDescent="0.3">
      <c r="A383" s="1" t="s">
        <v>1857</v>
      </c>
      <c r="B383" s="2">
        <v>41362</v>
      </c>
      <c r="C383">
        <v>2013</v>
      </c>
      <c r="D383" s="1" t="s">
        <v>145</v>
      </c>
      <c r="E383" s="1" t="s">
        <v>1858</v>
      </c>
      <c r="F383" s="1" t="s">
        <v>19</v>
      </c>
      <c r="G383" s="1" t="s">
        <v>351</v>
      </c>
      <c r="H383" s="1" t="s">
        <v>1859</v>
      </c>
      <c r="I383" s="1" t="s">
        <v>1860</v>
      </c>
      <c r="J383" s="1" t="s">
        <v>1861</v>
      </c>
      <c r="K383" s="1" t="s">
        <v>1431</v>
      </c>
      <c r="L383">
        <v>40000000</v>
      </c>
      <c r="M383">
        <v>63300000</v>
      </c>
      <c r="N383">
        <v>23300000</v>
      </c>
      <c r="O383">
        <v>58.25</v>
      </c>
      <c r="P383" t="s">
        <v>32</v>
      </c>
    </row>
    <row r="384" spans="1:16" x14ac:dyDescent="0.3">
      <c r="A384" s="1" t="s">
        <v>1862</v>
      </c>
      <c r="B384" s="2">
        <v>41859</v>
      </c>
      <c r="C384">
        <v>2014</v>
      </c>
      <c r="D384" s="1" t="s">
        <v>74</v>
      </c>
      <c r="E384" s="1" t="s">
        <v>1529</v>
      </c>
      <c r="F384" s="1" t="s">
        <v>19</v>
      </c>
      <c r="G384" s="1" t="s">
        <v>661</v>
      </c>
      <c r="H384" s="1" t="s">
        <v>1863</v>
      </c>
      <c r="I384" s="1" t="s">
        <v>19</v>
      </c>
      <c r="J384" s="1" t="s">
        <v>19</v>
      </c>
      <c r="K384" s="1" t="s">
        <v>19</v>
      </c>
      <c r="L384">
        <v>22000000</v>
      </c>
      <c r="M384">
        <v>88900000</v>
      </c>
      <c r="N384">
        <v>66900000</v>
      </c>
      <c r="O384">
        <v>304.08999999999997</v>
      </c>
      <c r="P384" t="s">
        <v>23</v>
      </c>
    </row>
    <row r="385" spans="1:16" x14ac:dyDescent="0.3">
      <c r="A385" s="1" t="s">
        <v>1864</v>
      </c>
      <c r="B385" s="2">
        <v>40991</v>
      </c>
      <c r="C385">
        <v>2012</v>
      </c>
      <c r="D385" s="1" t="s">
        <v>25</v>
      </c>
      <c r="E385" s="1" t="s">
        <v>692</v>
      </c>
      <c r="F385" s="1" t="s">
        <v>19</v>
      </c>
      <c r="G385" s="1" t="s">
        <v>986</v>
      </c>
      <c r="H385" s="1" t="s">
        <v>640</v>
      </c>
      <c r="I385" s="1" t="s">
        <v>899</v>
      </c>
      <c r="J385" s="1" t="s">
        <v>1865</v>
      </c>
      <c r="K385" s="1" t="s">
        <v>1111</v>
      </c>
      <c r="L385">
        <v>78000000</v>
      </c>
      <c r="M385">
        <v>694400000</v>
      </c>
      <c r="N385">
        <v>616400000</v>
      </c>
      <c r="O385">
        <v>790.26</v>
      </c>
      <c r="P385" t="s">
        <v>23</v>
      </c>
    </row>
    <row r="386" spans="1:16" x14ac:dyDescent="0.3">
      <c r="A386" s="1" t="s">
        <v>1866</v>
      </c>
      <c r="B386" s="2">
        <v>41953</v>
      </c>
      <c r="C386">
        <v>2014</v>
      </c>
      <c r="D386" s="1" t="s">
        <v>145</v>
      </c>
      <c r="E386" s="1" t="s">
        <v>1867</v>
      </c>
      <c r="F386" s="1" t="s">
        <v>19</v>
      </c>
      <c r="G386" s="1" t="s">
        <v>986</v>
      </c>
      <c r="H386" s="1" t="s">
        <v>640</v>
      </c>
      <c r="I386" s="1" t="s">
        <v>1261</v>
      </c>
      <c r="J386" s="1" t="s">
        <v>1255</v>
      </c>
      <c r="K386" s="1" t="s">
        <v>1868</v>
      </c>
      <c r="L386">
        <v>125000000</v>
      </c>
      <c r="M386">
        <v>755400000</v>
      </c>
      <c r="N386">
        <v>630400000</v>
      </c>
      <c r="O386">
        <v>504.32</v>
      </c>
      <c r="P386" t="s">
        <v>23</v>
      </c>
    </row>
    <row r="387" spans="1:16" x14ac:dyDescent="0.3">
      <c r="A387" s="1" t="s">
        <v>1869</v>
      </c>
      <c r="B387" s="2">
        <v>42312</v>
      </c>
      <c r="C387">
        <v>2015</v>
      </c>
      <c r="D387" s="1" t="s">
        <v>145</v>
      </c>
      <c r="E387" s="1" t="s">
        <v>1867</v>
      </c>
      <c r="F387" s="1" t="s">
        <v>19</v>
      </c>
      <c r="G387" s="1" t="s">
        <v>986</v>
      </c>
      <c r="H387" s="1" t="s">
        <v>640</v>
      </c>
      <c r="I387" s="1" t="s">
        <v>899</v>
      </c>
      <c r="J387" s="1" t="s">
        <v>1261</v>
      </c>
      <c r="K387" s="1" t="s">
        <v>1111</v>
      </c>
      <c r="L387">
        <v>160000000</v>
      </c>
      <c r="M387">
        <v>653400000</v>
      </c>
      <c r="N387">
        <v>493400000</v>
      </c>
      <c r="O387">
        <v>308.38</v>
      </c>
      <c r="P387" t="s">
        <v>23</v>
      </c>
    </row>
    <row r="388" spans="1:16" x14ac:dyDescent="0.3">
      <c r="A388" s="1" t="s">
        <v>1870</v>
      </c>
      <c r="B388" s="2">
        <v>42482</v>
      </c>
      <c r="C388">
        <v>2016</v>
      </c>
      <c r="D388" s="1" t="s">
        <v>279</v>
      </c>
      <c r="E388" s="1" t="s">
        <v>1871</v>
      </c>
      <c r="F388" s="1" t="s">
        <v>19</v>
      </c>
      <c r="G388" s="1" t="s">
        <v>317</v>
      </c>
      <c r="H388" s="1" t="s">
        <v>1013</v>
      </c>
      <c r="I388" s="1" t="s">
        <v>609</v>
      </c>
      <c r="J388" s="1" t="s">
        <v>106</v>
      </c>
      <c r="K388" s="1" t="s">
        <v>1872</v>
      </c>
      <c r="L388">
        <v>115000000</v>
      </c>
      <c r="M388">
        <v>164600000</v>
      </c>
      <c r="N388">
        <v>49600000</v>
      </c>
      <c r="O388">
        <v>43.13</v>
      </c>
      <c r="P388" t="s">
        <v>32</v>
      </c>
    </row>
    <row r="389" spans="1:16" x14ac:dyDescent="0.3">
      <c r="A389" s="1" t="s">
        <v>1873</v>
      </c>
      <c r="B389" s="2">
        <v>41397</v>
      </c>
      <c r="C389">
        <v>2013</v>
      </c>
      <c r="D389" s="1" t="s">
        <v>74</v>
      </c>
      <c r="E389" s="1" t="s">
        <v>462</v>
      </c>
      <c r="F389" s="1" t="s">
        <v>19</v>
      </c>
      <c r="G389" s="1" t="s">
        <v>1874</v>
      </c>
      <c r="H389" s="1" t="s">
        <v>1106</v>
      </c>
      <c r="I389" s="1" t="s">
        <v>1875</v>
      </c>
      <c r="J389" s="1" t="s">
        <v>376</v>
      </c>
      <c r="K389" s="1" t="s">
        <v>998</v>
      </c>
      <c r="L389">
        <v>10000000</v>
      </c>
      <c r="M389">
        <v>4400000</v>
      </c>
      <c r="N389">
        <v>-5600000</v>
      </c>
      <c r="O389">
        <v>-56</v>
      </c>
      <c r="P389" t="s">
        <v>72</v>
      </c>
    </row>
    <row r="390" spans="1:16" x14ac:dyDescent="0.3">
      <c r="A390" s="1" t="s">
        <v>1876</v>
      </c>
      <c r="B390" s="2">
        <v>41746</v>
      </c>
      <c r="C390">
        <v>2014</v>
      </c>
      <c r="D390" s="1" t="s">
        <v>751</v>
      </c>
      <c r="E390" s="1" t="s">
        <v>1877</v>
      </c>
      <c r="F390" s="1" t="s">
        <v>19</v>
      </c>
      <c r="G390" s="1" t="s">
        <v>998</v>
      </c>
      <c r="H390" s="1" t="s">
        <v>1878</v>
      </c>
      <c r="I390" s="1" t="s">
        <v>1879</v>
      </c>
      <c r="J390" s="1" t="s">
        <v>674</v>
      </c>
      <c r="K390" s="1" t="s">
        <v>1880</v>
      </c>
      <c r="L390">
        <v>16000000</v>
      </c>
      <c r="M390">
        <v>2800000</v>
      </c>
      <c r="N390">
        <v>-13200000</v>
      </c>
      <c r="O390">
        <v>-82.5</v>
      </c>
      <c r="P390" t="s">
        <v>72</v>
      </c>
    </row>
    <row r="391" spans="1:16" x14ac:dyDescent="0.3">
      <c r="A391" s="1" t="s">
        <v>1881</v>
      </c>
      <c r="B391" s="2">
        <v>41880</v>
      </c>
      <c r="C391">
        <v>2014</v>
      </c>
      <c r="D391" s="1" t="s">
        <v>74</v>
      </c>
      <c r="E391" s="1" t="s">
        <v>1882</v>
      </c>
      <c r="F391" s="1" t="s">
        <v>19</v>
      </c>
      <c r="G391" s="1" t="s">
        <v>313</v>
      </c>
      <c r="H391" s="1" t="s">
        <v>1883</v>
      </c>
      <c r="I391" s="1" t="s">
        <v>1550</v>
      </c>
      <c r="J391" s="1" t="s">
        <v>1884</v>
      </c>
      <c r="K391" s="1" t="s">
        <v>1885</v>
      </c>
      <c r="L391">
        <v>14000000</v>
      </c>
      <c r="M391">
        <v>233600000</v>
      </c>
      <c r="N391">
        <v>219600000</v>
      </c>
      <c r="O391">
        <v>1568.57</v>
      </c>
      <c r="P391" t="s">
        <v>23</v>
      </c>
    </row>
    <row r="392" spans="1:16" x14ac:dyDescent="0.3">
      <c r="A392" s="1" t="s">
        <v>1886</v>
      </c>
      <c r="B392" s="2">
        <v>41264</v>
      </c>
      <c r="C392">
        <v>2012</v>
      </c>
      <c r="D392" s="1" t="s">
        <v>74</v>
      </c>
      <c r="E392" s="1" t="s">
        <v>1887</v>
      </c>
      <c r="F392" s="1" t="s">
        <v>19</v>
      </c>
      <c r="G392" s="1" t="s">
        <v>1614</v>
      </c>
      <c r="H392" s="1" t="s">
        <v>945</v>
      </c>
      <c r="I392" s="1" t="s">
        <v>19</v>
      </c>
      <c r="J392" s="1" t="s">
        <v>19</v>
      </c>
      <c r="K392" s="1" t="s">
        <v>19</v>
      </c>
      <c r="L392">
        <v>45000000</v>
      </c>
      <c r="M392">
        <v>180300000</v>
      </c>
      <c r="N392">
        <v>135300000</v>
      </c>
      <c r="O392">
        <v>300.67</v>
      </c>
      <c r="P392" t="s">
        <v>23</v>
      </c>
    </row>
    <row r="393" spans="1:16" x14ac:dyDescent="0.3">
      <c r="A393" s="1" t="s">
        <v>1888</v>
      </c>
      <c r="B393" s="2">
        <v>41348</v>
      </c>
      <c r="C393">
        <v>2013</v>
      </c>
      <c r="D393" s="1" t="s">
        <v>42</v>
      </c>
      <c r="E393" s="1" t="s">
        <v>1889</v>
      </c>
      <c r="F393" s="1" t="s">
        <v>19</v>
      </c>
      <c r="G393" s="1" t="s">
        <v>522</v>
      </c>
      <c r="H393" s="1" t="s">
        <v>592</v>
      </c>
      <c r="I393" s="1" t="s">
        <v>858</v>
      </c>
      <c r="J393" s="1" t="s">
        <v>1083</v>
      </c>
      <c r="K393" s="1" t="s">
        <v>627</v>
      </c>
      <c r="L393">
        <v>34000000</v>
      </c>
      <c r="M393">
        <v>27400000</v>
      </c>
      <c r="N393">
        <v>-6600000</v>
      </c>
      <c r="O393">
        <v>-19.41</v>
      </c>
      <c r="P393" t="s">
        <v>72</v>
      </c>
    </row>
    <row r="394" spans="1:16" x14ac:dyDescent="0.3">
      <c r="A394" s="1" t="s">
        <v>1890</v>
      </c>
      <c r="B394" s="2">
        <v>42564</v>
      </c>
      <c r="C394">
        <v>2016</v>
      </c>
      <c r="D394" s="1" t="s">
        <v>74</v>
      </c>
      <c r="E394" s="1" t="s">
        <v>1517</v>
      </c>
      <c r="F394" s="1" t="s">
        <v>19</v>
      </c>
      <c r="G394" s="1" t="s">
        <v>227</v>
      </c>
      <c r="H394" s="1" t="s">
        <v>1861</v>
      </c>
      <c r="I394" s="1" t="s">
        <v>1477</v>
      </c>
      <c r="J394" s="1" t="s">
        <v>197</v>
      </c>
      <c r="K394" s="1" t="s">
        <v>346</v>
      </c>
      <c r="L394">
        <v>47500000</v>
      </c>
      <c r="M394">
        <v>15200000</v>
      </c>
      <c r="N394">
        <v>-32300000</v>
      </c>
      <c r="O394">
        <v>-68</v>
      </c>
      <c r="P394" t="s">
        <v>72</v>
      </c>
    </row>
    <row r="395" spans="1:16" x14ac:dyDescent="0.3">
      <c r="A395" s="1" t="s">
        <v>1891</v>
      </c>
      <c r="B395" s="2">
        <v>42262</v>
      </c>
      <c r="C395">
        <v>2015</v>
      </c>
      <c r="D395" s="1" t="s">
        <v>42</v>
      </c>
      <c r="E395" s="1" t="s">
        <v>1892</v>
      </c>
      <c r="F395" s="1" t="s">
        <v>19</v>
      </c>
      <c r="G395" s="1" t="s">
        <v>802</v>
      </c>
      <c r="H395" s="1" t="s">
        <v>913</v>
      </c>
      <c r="I395" s="1" t="s">
        <v>1232</v>
      </c>
      <c r="J395" s="1" t="s">
        <v>1360</v>
      </c>
      <c r="K395" s="1" t="s">
        <v>1893</v>
      </c>
      <c r="L395">
        <v>44000000</v>
      </c>
      <c r="M395">
        <v>194600000</v>
      </c>
      <c r="N395">
        <v>150600000</v>
      </c>
      <c r="O395">
        <v>342.27</v>
      </c>
      <c r="P395" t="s">
        <v>23</v>
      </c>
    </row>
    <row r="396" spans="1:16" x14ac:dyDescent="0.3">
      <c r="A396" s="1" t="s">
        <v>1894</v>
      </c>
      <c r="B396" s="2">
        <v>41432</v>
      </c>
      <c r="C396">
        <v>2013</v>
      </c>
      <c r="D396" s="1" t="s">
        <v>42</v>
      </c>
      <c r="E396" s="1" t="s">
        <v>1225</v>
      </c>
      <c r="F396" s="1" t="s">
        <v>19</v>
      </c>
      <c r="G396" s="1" t="s">
        <v>1895</v>
      </c>
      <c r="H396" s="1" t="s">
        <v>1228</v>
      </c>
      <c r="I396" s="1" t="s">
        <v>1119</v>
      </c>
      <c r="J396" s="1" t="s">
        <v>216</v>
      </c>
      <c r="K396" s="1" t="s">
        <v>1896</v>
      </c>
      <c r="L396">
        <v>58000000</v>
      </c>
      <c r="M396">
        <v>93000000</v>
      </c>
      <c r="N396">
        <v>35000000</v>
      </c>
      <c r="O396">
        <v>60.34</v>
      </c>
      <c r="P396" t="s">
        <v>32</v>
      </c>
    </row>
    <row r="397" spans="1:16" x14ac:dyDescent="0.3">
      <c r="A397" s="1" t="s">
        <v>1897</v>
      </c>
      <c r="B397" s="2">
        <v>41984</v>
      </c>
      <c r="C397">
        <v>2014</v>
      </c>
      <c r="D397" s="1" t="s">
        <v>25</v>
      </c>
      <c r="E397" s="1" t="s">
        <v>1018</v>
      </c>
      <c r="F397" s="1" t="s">
        <v>1898</v>
      </c>
      <c r="G397" s="1" t="s">
        <v>1018</v>
      </c>
      <c r="H397" s="1" t="s">
        <v>1899</v>
      </c>
      <c r="I397" s="1" t="s">
        <v>1264</v>
      </c>
      <c r="J397" s="1" t="s">
        <v>19</v>
      </c>
      <c r="K397" s="1" t="s">
        <v>19</v>
      </c>
      <c r="L397">
        <v>44000000</v>
      </c>
      <c r="M397">
        <v>11300000</v>
      </c>
      <c r="N397">
        <v>-32700000</v>
      </c>
      <c r="O397">
        <v>-74.319999999999993</v>
      </c>
      <c r="P397" t="s">
        <v>72</v>
      </c>
    </row>
    <row r="398" spans="1:16" x14ac:dyDescent="0.3">
      <c r="A398" s="1" t="s">
        <v>1900</v>
      </c>
      <c r="B398" s="2">
        <v>41886</v>
      </c>
      <c r="C398">
        <v>2014</v>
      </c>
      <c r="D398" s="1" t="s">
        <v>42</v>
      </c>
      <c r="E398" s="1" t="s">
        <v>1901</v>
      </c>
      <c r="F398" s="1" t="s">
        <v>19</v>
      </c>
      <c r="G398" s="1" t="s">
        <v>417</v>
      </c>
      <c r="H398" s="1" t="s">
        <v>560</v>
      </c>
      <c r="I398" s="1" t="s">
        <v>1902</v>
      </c>
      <c r="J398" s="1" t="s">
        <v>1766</v>
      </c>
      <c r="K398" s="1" t="s">
        <v>1297</v>
      </c>
      <c r="L398">
        <v>50000000</v>
      </c>
      <c r="M398">
        <v>84400000</v>
      </c>
      <c r="N398">
        <v>34400000</v>
      </c>
      <c r="O398">
        <v>68.8</v>
      </c>
      <c r="P398" t="s">
        <v>32</v>
      </c>
    </row>
    <row r="399" spans="1:16" x14ac:dyDescent="0.3">
      <c r="A399" s="1" t="s">
        <v>1903</v>
      </c>
      <c r="B399" s="2">
        <v>42342</v>
      </c>
      <c r="C399">
        <v>2015</v>
      </c>
      <c r="D399" s="1" t="s">
        <v>42</v>
      </c>
      <c r="E399" s="1" t="s">
        <v>1904</v>
      </c>
      <c r="F399" s="1" t="s">
        <v>19</v>
      </c>
      <c r="G399" s="1" t="s">
        <v>1709</v>
      </c>
      <c r="H399" s="1" t="s">
        <v>1905</v>
      </c>
      <c r="I399" s="1" t="s">
        <v>354</v>
      </c>
      <c r="J399" s="1" t="s">
        <v>1906</v>
      </c>
      <c r="K399" s="1" t="s">
        <v>1907</v>
      </c>
      <c r="L399">
        <v>6000000</v>
      </c>
      <c r="M399">
        <v>41400000</v>
      </c>
      <c r="N399">
        <v>35400000</v>
      </c>
      <c r="O399">
        <v>590</v>
      </c>
      <c r="P399" t="s">
        <v>23</v>
      </c>
    </row>
    <row r="400" spans="1:16" x14ac:dyDescent="0.3">
      <c r="A400" s="1" t="s">
        <v>1908</v>
      </c>
      <c r="B400" s="2">
        <v>41334</v>
      </c>
      <c r="C400">
        <v>2013</v>
      </c>
      <c r="D400" s="1" t="s">
        <v>138</v>
      </c>
      <c r="E400" s="1" t="s">
        <v>1909</v>
      </c>
      <c r="F400" s="1" t="s">
        <v>19</v>
      </c>
      <c r="G400" s="1" t="s">
        <v>1910</v>
      </c>
      <c r="H400" s="1" t="s">
        <v>1911</v>
      </c>
      <c r="I400" s="1" t="s">
        <v>1912</v>
      </c>
      <c r="J400" s="1" t="s">
        <v>1913</v>
      </c>
      <c r="K400" s="1" t="s">
        <v>1914</v>
      </c>
      <c r="L400">
        <v>5000000</v>
      </c>
      <c r="M400">
        <v>15100000</v>
      </c>
      <c r="N400">
        <v>10100000</v>
      </c>
      <c r="O400">
        <v>202</v>
      </c>
      <c r="P400" t="s">
        <v>40</v>
      </c>
    </row>
    <row r="401" spans="1:16" x14ac:dyDescent="0.3">
      <c r="A401" s="1" t="s">
        <v>1915</v>
      </c>
      <c r="B401" s="2">
        <v>41292</v>
      </c>
      <c r="C401">
        <v>2013</v>
      </c>
      <c r="D401" s="1" t="s">
        <v>25</v>
      </c>
      <c r="E401" s="1" t="s">
        <v>1916</v>
      </c>
      <c r="F401" s="1" t="s">
        <v>19</v>
      </c>
      <c r="G401" s="1" t="s">
        <v>1523</v>
      </c>
      <c r="H401" s="1" t="s">
        <v>1605</v>
      </c>
      <c r="I401" s="1" t="s">
        <v>812</v>
      </c>
      <c r="J401" s="1" t="s">
        <v>1917</v>
      </c>
      <c r="K401" s="1" t="s">
        <v>53</v>
      </c>
      <c r="L401">
        <v>45000000</v>
      </c>
      <c r="M401">
        <v>48300000</v>
      </c>
      <c r="N401">
        <v>3300000</v>
      </c>
      <c r="O401">
        <v>7.33</v>
      </c>
      <c r="P401" t="s">
        <v>32</v>
      </c>
    </row>
    <row r="402" spans="1:16" x14ac:dyDescent="0.3">
      <c r="A402" s="1" t="s">
        <v>1918</v>
      </c>
      <c r="B402" s="2">
        <v>42300</v>
      </c>
      <c r="C402">
        <v>2015</v>
      </c>
      <c r="D402" s="1" t="s">
        <v>25</v>
      </c>
      <c r="E402" s="1" t="s">
        <v>1919</v>
      </c>
      <c r="F402" s="1" t="s">
        <v>19</v>
      </c>
      <c r="G402" s="1" t="s">
        <v>669</v>
      </c>
      <c r="H402" s="1" t="s">
        <v>914</v>
      </c>
      <c r="I402" s="1" t="s">
        <v>1920</v>
      </c>
      <c r="J402" s="1" t="s">
        <v>1921</v>
      </c>
      <c r="K402" s="1" t="s">
        <v>19</v>
      </c>
      <c r="L402">
        <v>90000000</v>
      </c>
      <c r="M402">
        <v>140400000</v>
      </c>
      <c r="N402">
        <v>50400000</v>
      </c>
      <c r="O402">
        <v>56</v>
      </c>
      <c r="P402" t="s">
        <v>32</v>
      </c>
    </row>
    <row r="403" spans="1:16" x14ac:dyDescent="0.3">
      <c r="A403" s="1" t="s">
        <v>1922</v>
      </c>
      <c r="B403" s="2">
        <v>42062</v>
      </c>
      <c r="C403">
        <v>2015</v>
      </c>
      <c r="D403" s="1" t="s">
        <v>138</v>
      </c>
      <c r="E403" s="1" t="s">
        <v>1923</v>
      </c>
      <c r="F403" s="1" t="s">
        <v>19</v>
      </c>
      <c r="G403" s="1" t="s">
        <v>1083</v>
      </c>
      <c r="H403" s="1" t="s">
        <v>1350</v>
      </c>
      <c r="I403" s="1" t="s">
        <v>1924</v>
      </c>
      <c r="J403" s="1" t="s">
        <v>19</v>
      </c>
      <c r="K403" s="1" t="s">
        <v>19</v>
      </c>
      <c r="L403">
        <v>3300000</v>
      </c>
      <c r="M403">
        <v>38400000</v>
      </c>
      <c r="N403">
        <v>35100000</v>
      </c>
      <c r="O403">
        <v>1063.6400000000001</v>
      </c>
      <c r="P403" t="s">
        <v>23</v>
      </c>
    </row>
    <row r="404" spans="1:16" x14ac:dyDescent="0.3">
      <c r="A404" s="1" t="s">
        <v>1925</v>
      </c>
      <c r="B404" s="2">
        <v>41649</v>
      </c>
      <c r="C404">
        <v>2014</v>
      </c>
      <c r="D404" s="1" t="s">
        <v>25</v>
      </c>
      <c r="E404" s="1" t="s">
        <v>1926</v>
      </c>
      <c r="F404" s="1" t="s">
        <v>19</v>
      </c>
      <c r="G404" s="1" t="s">
        <v>1927</v>
      </c>
      <c r="H404" s="1" t="s">
        <v>1928</v>
      </c>
      <c r="I404" s="1" t="s">
        <v>1929</v>
      </c>
      <c r="J404" s="1" t="s">
        <v>1930</v>
      </c>
      <c r="K404" s="1" t="s">
        <v>1931</v>
      </c>
      <c r="L404">
        <v>70000000</v>
      </c>
      <c r="M404">
        <v>61300000</v>
      </c>
      <c r="N404">
        <v>-8700000</v>
      </c>
      <c r="O404">
        <v>-12.43</v>
      </c>
      <c r="P404" t="s">
        <v>72</v>
      </c>
    </row>
    <row r="405" spans="1:16" x14ac:dyDescent="0.3">
      <c r="A405" s="1" t="s">
        <v>1932</v>
      </c>
      <c r="B405" s="2">
        <v>42552</v>
      </c>
      <c r="C405">
        <v>2016</v>
      </c>
      <c r="D405" s="1" t="s">
        <v>25</v>
      </c>
      <c r="E405" s="1" t="s">
        <v>1933</v>
      </c>
      <c r="F405" s="1" t="s">
        <v>19</v>
      </c>
      <c r="G405" s="1" t="s">
        <v>1800</v>
      </c>
      <c r="H405" s="1" t="s">
        <v>1648</v>
      </c>
      <c r="I405" s="1" t="s">
        <v>305</v>
      </c>
      <c r="J405" s="1" t="s">
        <v>552</v>
      </c>
      <c r="K405" s="1" t="s">
        <v>1934</v>
      </c>
      <c r="L405">
        <v>180000000</v>
      </c>
      <c r="M405">
        <v>352700000</v>
      </c>
      <c r="N405">
        <v>172700000</v>
      </c>
      <c r="O405">
        <v>95.94</v>
      </c>
      <c r="P405" t="s">
        <v>32</v>
      </c>
    </row>
    <row r="406" spans="1:16" x14ac:dyDescent="0.3">
      <c r="A406" s="1" t="s">
        <v>1935</v>
      </c>
      <c r="B406" s="2">
        <v>41671</v>
      </c>
      <c r="C406">
        <v>2014</v>
      </c>
      <c r="D406" s="1" t="s">
        <v>445</v>
      </c>
      <c r="E406" s="1" t="s">
        <v>43</v>
      </c>
      <c r="F406" s="1" t="s">
        <v>44</v>
      </c>
      <c r="G406" s="1" t="s">
        <v>1819</v>
      </c>
      <c r="H406" s="1" t="s">
        <v>476</v>
      </c>
      <c r="I406" s="1" t="s">
        <v>1111</v>
      </c>
      <c r="J406" s="1" t="s">
        <v>1669</v>
      </c>
      <c r="K406" s="1" t="s">
        <v>1128</v>
      </c>
      <c r="L406">
        <v>60000000</v>
      </c>
      <c r="M406">
        <v>469200000</v>
      </c>
      <c r="N406">
        <v>409200000</v>
      </c>
      <c r="O406">
        <v>682</v>
      </c>
      <c r="P406" t="s">
        <v>23</v>
      </c>
    </row>
    <row r="407" spans="1:16" x14ac:dyDescent="0.3">
      <c r="A407" s="1" t="s">
        <v>1936</v>
      </c>
      <c r="B407" s="2">
        <v>42342</v>
      </c>
      <c r="C407">
        <v>2015</v>
      </c>
      <c r="D407" s="1" t="s">
        <v>74</v>
      </c>
      <c r="E407" s="1" t="s">
        <v>1937</v>
      </c>
      <c r="F407" s="1" t="s">
        <v>19</v>
      </c>
      <c r="G407" s="1" t="s">
        <v>1938</v>
      </c>
      <c r="H407" s="1" t="s">
        <v>1939</v>
      </c>
      <c r="I407" s="1" t="s">
        <v>1940</v>
      </c>
      <c r="J407" s="1" t="s">
        <v>1941</v>
      </c>
      <c r="K407" s="1" t="s">
        <v>19</v>
      </c>
      <c r="L407">
        <v>1000000</v>
      </c>
      <c r="M407">
        <v>1600000</v>
      </c>
      <c r="N407">
        <v>600000</v>
      </c>
      <c r="O407">
        <v>60</v>
      </c>
      <c r="P407" t="s">
        <v>32</v>
      </c>
    </row>
    <row r="408" spans="1:16" x14ac:dyDescent="0.3">
      <c r="A408" s="1" t="s">
        <v>1942</v>
      </c>
      <c r="B408" s="2">
        <v>41019</v>
      </c>
      <c r="C408">
        <v>2012</v>
      </c>
      <c r="D408" s="1" t="s">
        <v>74</v>
      </c>
      <c r="E408" s="1" t="s">
        <v>1943</v>
      </c>
      <c r="F408" s="1" t="s">
        <v>19</v>
      </c>
      <c r="G408" s="1" t="s">
        <v>568</v>
      </c>
      <c r="H408" s="1" t="s">
        <v>1944</v>
      </c>
      <c r="I408" s="1" t="s">
        <v>1945</v>
      </c>
      <c r="J408" s="1" t="s">
        <v>1946</v>
      </c>
      <c r="K408" s="1" t="s">
        <v>1947</v>
      </c>
      <c r="L408">
        <v>25000000</v>
      </c>
      <c r="M408">
        <v>99400000</v>
      </c>
      <c r="N408">
        <v>74400000</v>
      </c>
      <c r="O408">
        <v>297.60000000000002</v>
      </c>
      <c r="P408" t="s">
        <v>40</v>
      </c>
    </row>
    <row r="409" spans="1:16" x14ac:dyDescent="0.3">
      <c r="A409" s="1" t="s">
        <v>1948</v>
      </c>
      <c r="B409" s="2">
        <v>42223</v>
      </c>
      <c r="C409">
        <v>2015</v>
      </c>
      <c r="D409" s="1" t="s">
        <v>25</v>
      </c>
      <c r="E409" s="1" t="s">
        <v>1949</v>
      </c>
      <c r="F409" s="1" t="s">
        <v>19</v>
      </c>
      <c r="G409" s="1" t="s">
        <v>251</v>
      </c>
      <c r="H409" s="1" t="s">
        <v>1154</v>
      </c>
      <c r="I409" s="1" t="s">
        <v>1950</v>
      </c>
      <c r="J409" s="1" t="s">
        <v>658</v>
      </c>
      <c r="K409" s="1" t="s">
        <v>680</v>
      </c>
      <c r="L409">
        <v>75000000</v>
      </c>
      <c r="M409">
        <v>109800000</v>
      </c>
      <c r="N409">
        <v>34800000</v>
      </c>
      <c r="O409">
        <v>46.4</v>
      </c>
      <c r="P409" t="s">
        <v>32</v>
      </c>
    </row>
    <row r="410" spans="1:16" x14ac:dyDescent="0.3">
      <c r="A410" s="1" t="s">
        <v>1951</v>
      </c>
      <c r="B410" s="2">
        <v>41215</v>
      </c>
      <c r="C410">
        <v>2012</v>
      </c>
      <c r="D410" s="1" t="s">
        <v>25</v>
      </c>
      <c r="E410" s="1" t="s">
        <v>341</v>
      </c>
      <c r="F410" s="1" t="s">
        <v>19</v>
      </c>
      <c r="G410" s="1" t="s">
        <v>1034</v>
      </c>
      <c r="H410" s="1" t="s">
        <v>1952</v>
      </c>
      <c r="I410" s="1" t="s">
        <v>1953</v>
      </c>
      <c r="J410" s="1" t="s">
        <v>341</v>
      </c>
      <c r="K410" s="1" t="s">
        <v>1954</v>
      </c>
      <c r="L410">
        <v>20000000</v>
      </c>
      <c r="M410">
        <v>20300000</v>
      </c>
      <c r="N410">
        <v>300000</v>
      </c>
      <c r="O410">
        <v>1.5</v>
      </c>
      <c r="P410" t="s">
        <v>32</v>
      </c>
    </row>
    <row r="411" spans="1:16" x14ac:dyDescent="0.3">
      <c r="A411" s="1" t="s">
        <v>1955</v>
      </c>
      <c r="B411" s="2">
        <v>42258</v>
      </c>
      <c r="C411">
        <v>2015</v>
      </c>
      <c r="D411" s="1" t="s">
        <v>145</v>
      </c>
      <c r="E411" s="1" t="s">
        <v>1417</v>
      </c>
      <c r="F411" s="1" t="s">
        <v>19</v>
      </c>
      <c r="G411" s="1" t="s">
        <v>611</v>
      </c>
      <c r="H411" s="1" t="s">
        <v>593</v>
      </c>
      <c r="I411" s="1" t="s">
        <v>523</v>
      </c>
      <c r="J411" s="1" t="s">
        <v>1569</v>
      </c>
      <c r="K411" s="1" t="s">
        <v>106</v>
      </c>
      <c r="L411">
        <v>108000000</v>
      </c>
      <c r="M411">
        <v>630200000</v>
      </c>
      <c r="N411">
        <v>522200000</v>
      </c>
      <c r="O411">
        <v>483.52</v>
      </c>
      <c r="P411" t="s">
        <v>23</v>
      </c>
    </row>
    <row r="412" spans="1:16" x14ac:dyDescent="0.3">
      <c r="A412" s="1" t="s">
        <v>1956</v>
      </c>
      <c r="B412" s="2">
        <v>41166</v>
      </c>
      <c r="C412">
        <v>2012</v>
      </c>
      <c r="D412" s="1" t="s">
        <v>74</v>
      </c>
      <c r="E412" s="1" t="s">
        <v>1957</v>
      </c>
      <c r="F412" s="1" t="s">
        <v>19</v>
      </c>
      <c r="G412" s="1" t="s">
        <v>112</v>
      </c>
      <c r="H412" s="1" t="s">
        <v>929</v>
      </c>
      <c r="I412" s="1" t="s">
        <v>1958</v>
      </c>
      <c r="J412" s="1" t="s">
        <v>1959</v>
      </c>
      <c r="K412" s="1" t="s">
        <v>252</v>
      </c>
      <c r="L412">
        <v>32000000</v>
      </c>
      <c r="M412">
        <v>28300000</v>
      </c>
      <c r="N412">
        <v>-3700000</v>
      </c>
      <c r="O412">
        <v>-11.56</v>
      </c>
      <c r="P412" t="s">
        <v>72</v>
      </c>
    </row>
    <row r="413" spans="1:16" x14ac:dyDescent="0.3">
      <c r="A413" s="1" t="s">
        <v>1960</v>
      </c>
      <c r="B413" s="2">
        <v>41901</v>
      </c>
      <c r="C413">
        <v>2014</v>
      </c>
      <c r="D413" s="1" t="s">
        <v>145</v>
      </c>
      <c r="E413" s="1" t="s">
        <v>1118</v>
      </c>
      <c r="F413" s="1" t="s">
        <v>19</v>
      </c>
      <c r="G413" s="1" t="s">
        <v>1119</v>
      </c>
      <c r="H413" s="1" t="s">
        <v>1961</v>
      </c>
      <c r="I413" s="1" t="s">
        <v>1121</v>
      </c>
      <c r="J413" s="1" t="s">
        <v>1962</v>
      </c>
      <c r="K413" s="1" t="s">
        <v>1122</v>
      </c>
      <c r="L413">
        <v>34000000</v>
      </c>
      <c r="M413">
        <v>348300000</v>
      </c>
      <c r="N413">
        <v>314300000</v>
      </c>
      <c r="O413">
        <v>924.41</v>
      </c>
      <c r="P413" t="s">
        <v>23</v>
      </c>
    </row>
    <row r="414" spans="1:16" x14ac:dyDescent="0.3">
      <c r="A414" s="1" t="s">
        <v>1963</v>
      </c>
      <c r="B414" s="2">
        <v>42408</v>
      </c>
      <c r="C414">
        <v>2016</v>
      </c>
      <c r="D414" s="1" t="s">
        <v>145</v>
      </c>
      <c r="E414" s="1" t="s">
        <v>1964</v>
      </c>
      <c r="F414" s="1" t="s">
        <v>19</v>
      </c>
      <c r="G414" s="1" t="s">
        <v>1965</v>
      </c>
      <c r="H414" s="1" t="s">
        <v>1966</v>
      </c>
      <c r="I414" s="1" t="s">
        <v>1967</v>
      </c>
      <c r="J414" s="1" t="s">
        <v>1968</v>
      </c>
      <c r="K414" s="1" t="s">
        <v>1969</v>
      </c>
      <c r="L414">
        <v>60720000</v>
      </c>
      <c r="M414">
        <v>553800000</v>
      </c>
      <c r="N414">
        <v>493080000</v>
      </c>
      <c r="O414">
        <v>812.06</v>
      </c>
      <c r="P414" t="s">
        <v>23</v>
      </c>
    </row>
    <row r="415" spans="1:16" x14ac:dyDescent="0.3">
      <c r="A415" s="1" t="s">
        <v>1970</v>
      </c>
      <c r="B415" s="2">
        <v>41677</v>
      </c>
      <c r="C415">
        <v>2014</v>
      </c>
      <c r="D415" s="1" t="s">
        <v>74</v>
      </c>
      <c r="E415" s="1" t="s">
        <v>797</v>
      </c>
      <c r="F415" s="1" t="s">
        <v>19</v>
      </c>
      <c r="G415" s="1" t="s">
        <v>797</v>
      </c>
      <c r="H415" s="1" t="s">
        <v>611</v>
      </c>
      <c r="I415" s="1" t="s">
        <v>171</v>
      </c>
      <c r="J415" s="1" t="s">
        <v>21</v>
      </c>
      <c r="K415" s="1" t="s">
        <v>1971</v>
      </c>
      <c r="L415">
        <v>70000000</v>
      </c>
      <c r="M415">
        <v>155000000</v>
      </c>
      <c r="N415">
        <v>85000000</v>
      </c>
      <c r="O415">
        <v>121.43</v>
      </c>
      <c r="P415" t="s">
        <v>40</v>
      </c>
    </row>
    <row r="416" spans="1:16" x14ac:dyDescent="0.3">
      <c r="A416" s="1" t="s">
        <v>1972</v>
      </c>
      <c r="B416" s="2">
        <v>41507</v>
      </c>
      <c r="C416">
        <v>2013</v>
      </c>
      <c r="D416" s="1" t="s">
        <v>25</v>
      </c>
      <c r="E416" s="1" t="s">
        <v>1973</v>
      </c>
      <c r="F416" s="1" t="s">
        <v>19</v>
      </c>
      <c r="G416" s="1" t="s">
        <v>1152</v>
      </c>
      <c r="H416" s="1" t="s">
        <v>1974</v>
      </c>
      <c r="I416" s="1" t="s">
        <v>1975</v>
      </c>
      <c r="J416" s="1" t="s">
        <v>1976</v>
      </c>
      <c r="K416" s="1" t="s">
        <v>1977</v>
      </c>
      <c r="L416">
        <v>60000000</v>
      </c>
      <c r="M416">
        <v>90600000</v>
      </c>
      <c r="N416">
        <v>30600000</v>
      </c>
      <c r="O416">
        <v>51</v>
      </c>
      <c r="P416" t="s">
        <v>32</v>
      </c>
    </row>
    <row r="417" spans="1:16" x14ac:dyDescent="0.3">
      <c r="A417" s="1" t="s">
        <v>1978</v>
      </c>
      <c r="B417" s="2">
        <v>42328</v>
      </c>
      <c r="C417">
        <v>2015</v>
      </c>
      <c r="D417" s="1" t="s">
        <v>42</v>
      </c>
      <c r="E417" s="1" t="s">
        <v>1979</v>
      </c>
      <c r="F417" s="1" t="s">
        <v>19</v>
      </c>
      <c r="G417" s="1" t="s">
        <v>1057</v>
      </c>
      <c r="H417" s="1" t="s">
        <v>1018</v>
      </c>
      <c r="I417" s="1" t="s">
        <v>142</v>
      </c>
      <c r="J417" s="1" t="s">
        <v>19</v>
      </c>
      <c r="K417" s="1" t="s">
        <v>19</v>
      </c>
      <c r="L417">
        <v>25000000</v>
      </c>
      <c r="M417">
        <v>52400000</v>
      </c>
      <c r="N417">
        <v>27400000</v>
      </c>
      <c r="O417">
        <v>109.6</v>
      </c>
      <c r="P417" t="s">
        <v>40</v>
      </c>
    </row>
    <row r="418" spans="1:16" x14ac:dyDescent="0.3">
      <c r="A418" s="1" t="s">
        <v>1980</v>
      </c>
      <c r="B418" s="2">
        <v>41878</v>
      </c>
      <c r="C418">
        <v>2014</v>
      </c>
      <c r="D418" s="1" t="s">
        <v>17</v>
      </c>
      <c r="E418" s="1" t="s">
        <v>1981</v>
      </c>
      <c r="F418" s="1" t="s">
        <v>19</v>
      </c>
      <c r="G418" s="1" t="s">
        <v>100</v>
      </c>
      <c r="H418" s="1" t="s">
        <v>1267</v>
      </c>
      <c r="I418" s="1" t="s">
        <v>1373</v>
      </c>
      <c r="J418" s="1" t="s">
        <v>1982</v>
      </c>
      <c r="K418" s="1" t="s">
        <v>1983</v>
      </c>
      <c r="L418">
        <v>15000000</v>
      </c>
      <c r="M418">
        <v>34800000</v>
      </c>
      <c r="N418">
        <v>19800000</v>
      </c>
      <c r="O418">
        <v>132</v>
      </c>
      <c r="P418" t="s">
        <v>40</v>
      </c>
    </row>
    <row r="419" spans="1:16" x14ac:dyDescent="0.3">
      <c r="A419" s="1" t="s">
        <v>1984</v>
      </c>
      <c r="B419" s="2">
        <v>41650</v>
      </c>
      <c r="C419">
        <v>2014</v>
      </c>
      <c r="D419" s="1" t="s">
        <v>445</v>
      </c>
      <c r="E419" s="1" t="s">
        <v>1985</v>
      </c>
      <c r="F419" s="1" t="s">
        <v>19</v>
      </c>
      <c r="G419" s="1" t="s">
        <v>1669</v>
      </c>
      <c r="H419" s="1" t="s">
        <v>1283</v>
      </c>
      <c r="I419" s="1" t="s">
        <v>127</v>
      </c>
      <c r="J419" s="1" t="s">
        <v>645</v>
      </c>
      <c r="K419" s="1" t="s">
        <v>96</v>
      </c>
      <c r="L419">
        <v>42800000</v>
      </c>
      <c r="M419">
        <v>120900000</v>
      </c>
      <c r="N419">
        <v>78100000</v>
      </c>
      <c r="O419">
        <v>182.48</v>
      </c>
      <c r="P419" t="s">
        <v>40</v>
      </c>
    </row>
    <row r="420" spans="1:16" x14ac:dyDescent="0.3">
      <c r="A420" s="1" t="s">
        <v>1986</v>
      </c>
      <c r="B420" s="2">
        <v>41150</v>
      </c>
      <c r="C420">
        <v>2012</v>
      </c>
      <c r="D420" s="1" t="s">
        <v>445</v>
      </c>
      <c r="E420" s="1" t="s">
        <v>1987</v>
      </c>
      <c r="F420" s="1" t="s">
        <v>19</v>
      </c>
      <c r="G420" s="1" t="s">
        <v>1988</v>
      </c>
      <c r="H420" s="1" t="s">
        <v>1989</v>
      </c>
      <c r="I420" s="1" t="s">
        <v>1990</v>
      </c>
      <c r="J420" s="1" t="s">
        <v>1991</v>
      </c>
      <c r="K420" s="1" t="s">
        <v>1992</v>
      </c>
      <c r="L420">
        <v>20000000</v>
      </c>
      <c r="M420">
        <v>1100000</v>
      </c>
      <c r="N420">
        <v>-18900000</v>
      </c>
      <c r="O420">
        <v>-94.5</v>
      </c>
      <c r="P420" t="s">
        <v>72</v>
      </c>
    </row>
    <row r="421" spans="1:16" x14ac:dyDescent="0.3">
      <c r="A421" s="1" t="s">
        <v>1993</v>
      </c>
      <c r="B421" s="2">
        <v>41729</v>
      </c>
      <c r="C421">
        <v>2014</v>
      </c>
      <c r="D421" s="1" t="s">
        <v>42</v>
      </c>
      <c r="E421" s="1" t="s">
        <v>1994</v>
      </c>
      <c r="F421" s="1" t="s">
        <v>19</v>
      </c>
      <c r="G421" s="1" t="s">
        <v>215</v>
      </c>
      <c r="H421" s="1" t="s">
        <v>1480</v>
      </c>
      <c r="I421" s="1" t="s">
        <v>1995</v>
      </c>
      <c r="J421" s="1" t="s">
        <v>767</v>
      </c>
      <c r="K421" s="1" t="s">
        <v>1824</v>
      </c>
      <c r="L421">
        <v>40000000</v>
      </c>
      <c r="M421">
        <v>196700000</v>
      </c>
      <c r="N421">
        <v>156700000</v>
      </c>
      <c r="O421">
        <v>391.75</v>
      </c>
      <c r="P421" t="s">
        <v>23</v>
      </c>
    </row>
    <row r="422" spans="1:16" x14ac:dyDescent="0.3">
      <c r="A422" s="1" t="s">
        <v>1996</v>
      </c>
      <c r="B422" s="2">
        <v>42309</v>
      </c>
      <c r="C422">
        <v>2015</v>
      </c>
      <c r="D422" s="1" t="s">
        <v>835</v>
      </c>
      <c r="E422" s="1" t="s">
        <v>878</v>
      </c>
      <c r="F422" s="1" t="s">
        <v>19</v>
      </c>
      <c r="G422" s="1" t="s">
        <v>1997</v>
      </c>
      <c r="H422" s="1" t="s">
        <v>1998</v>
      </c>
      <c r="I422" s="1" t="s">
        <v>1999</v>
      </c>
      <c r="J422" s="1" t="s">
        <v>2000</v>
      </c>
      <c r="K422" s="1" t="s">
        <v>2001</v>
      </c>
      <c r="L422">
        <v>99000000</v>
      </c>
      <c r="M422">
        <v>246200000</v>
      </c>
      <c r="N422">
        <v>147200000</v>
      </c>
      <c r="O422">
        <v>148.69</v>
      </c>
      <c r="P422" t="s">
        <v>40</v>
      </c>
    </row>
    <row r="423" spans="1:16" x14ac:dyDescent="0.3">
      <c r="A423" s="1" t="s">
        <v>2002</v>
      </c>
      <c r="B423" s="2">
        <v>42249</v>
      </c>
      <c r="C423">
        <v>2015</v>
      </c>
      <c r="D423" s="1" t="s">
        <v>17</v>
      </c>
      <c r="E423" s="1" t="s">
        <v>2003</v>
      </c>
      <c r="F423" s="1" t="s">
        <v>19</v>
      </c>
      <c r="G423" s="1" t="s">
        <v>2004</v>
      </c>
      <c r="H423" s="1" t="s">
        <v>2005</v>
      </c>
      <c r="I423" s="1" t="s">
        <v>1749</v>
      </c>
      <c r="J423" s="1" t="s">
        <v>19</v>
      </c>
      <c r="K423" s="1" t="s">
        <v>19</v>
      </c>
      <c r="L423">
        <v>18000000</v>
      </c>
      <c r="M423">
        <v>60300000</v>
      </c>
      <c r="N423">
        <v>42300000</v>
      </c>
      <c r="O423">
        <v>235</v>
      </c>
      <c r="P423" t="s">
        <v>40</v>
      </c>
    </row>
    <row r="424" spans="1:16" x14ac:dyDescent="0.3">
      <c r="A424" s="1" t="s">
        <v>2006</v>
      </c>
      <c r="B424" s="2">
        <v>42440</v>
      </c>
      <c r="C424">
        <v>2016</v>
      </c>
      <c r="D424" s="1" t="s">
        <v>166</v>
      </c>
      <c r="E424" s="1" t="s">
        <v>2007</v>
      </c>
      <c r="F424" s="1" t="s">
        <v>19</v>
      </c>
      <c r="G424" s="1" t="s">
        <v>2008</v>
      </c>
      <c r="H424" s="1" t="s">
        <v>2009</v>
      </c>
      <c r="I424" s="1" t="s">
        <v>2010</v>
      </c>
      <c r="J424" s="1" t="s">
        <v>2011</v>
      </c>
      <c r="K424" s="1" t="s">
        <v>2012</v>
      </c>
      <c r="L424">
        <v>5000000</v>
      </c>
      <c r="M424">
        <v>10400000</v>
      </c>
      <c r="N424">
        <v>5400000</v>
      </c>
      <c r="O424">
        <v>108</v>
      </c>
      <c r="P424" t="s">
        <v>40</v>
      </c>
    </row>
    <row r="425" spans="1:16" x14ac:dyDescent="0.3">
      <c r="A425" s="1" t="s">
        <v>2013</v>
      </c>
      <c r="B425" s="2">
        <v>41173</v>
      </c>
      <c r="C425">
        <v>2012</v>
      </c>
      <c r="D425" s="1" t="s">
        <v>74</v>
      </c>
      <c r="E425" s="1" t="s">
        <v>2014</v>
      </c>
      <c r="F425" s="1" t="s">
        <v>19</v>
      </c>
      <c r="G425" s="1" t="s">
        <v>1251</v>
      </c>
      <c r="H425" s="1" t="s">
        <v>708</v>
      </c>
      <c r="I425" s="1" t="s">
        <v>1795</v>
      </c>
      <c r="J425" s="1" t="s">
        <v>2015</v>
      </c>
      <c r="K425" s="1" t="s">
        <v>2016</v>
      </c>
      <c r="L425">
        <v>13000000</v>
      </c>
      <c r="M425">
        <v>33400000</v>
      </c>
      <c r="N425">
        <v>20400000</v>
      </c>
      <c r="O425">
        <v>156.91999999999999</v>
      </c>
      <c r="P425" t="s">
        <v>40</v>
      </c>
    </row>
    <row r="426" spans="1:16" x14ac:dyDescent="0.3">
      <c r="A426" s="1" t="s">
        <v>2017</v>
      </c>
      <c r="B426" s="2">
        <v>41026</v>
      </c>
      <c r="C426">
        <v>2012</v>
      </c>
      <c r="D426" s="1" t="s">
        <v>42</v>
      </c>
      <c r="E426" s="1" t="s">
        <v>2018</v>
      </c>
      <c r="F426" s="1" t="s">
        <v>2019</v>
      </c>
      <c r="G426" s="1" t="s">
        <v>680</v>
      </c>
      <c r="H426" s="1" t="s">
        <v>821</v>
      </c>
      <c r="I426" s="1" t="s">
        <v>637</v>
      </c>
      <c r="J426" s="1" t="s">
        <v>2020</v>
      </c>
      <c r="K426" s="1" t="s">
        <v>2021</v>
      </c>
      <c r="L426">
        <v>55000000</v>
      </c>
      <c r="M426">
        <v>123000000</v>
      </c>
      <c r="N426">
        <v>68000000</v>
      </c>
      <c r="O426">
        <v>123.64</v>
      </c>
      <c r="P426" t="s">
        <v>40</v>
      </c>
    </row>
    <row r="427" spans="1:16" x14ac:dyDescent="0.3">
      <c r="A427" s="1" t="s">
        <v>2022</v>
      </c>
      <c r="B427" s="2">
        <v>41362</v>
      </c>
      <c r="C427">
        <v>2013</v>
      </c>
      <c r="D427" s="1" t="s">
        <v>125</v>
      </c>
      <c r="E427" s="1" t="s">
        <v>2023</v>
      </c>
      <c r="F427" s="1" t="s">
        <v>19</v>
      </c>
      <c r="G427" s="1" t="s">
        <v>716</v>
      </c>
      <c r="H427" s="1" t="s">
        <v>168</v>
      </c>
      <c r="I427" s="1" t="s">
        <v>216</v>
      </c>
      <c r="J427" s="1" t="s">
        <v>2024</v>
      </c>
      <c r="K427" s="1" t="s">
        <v>998</v>
      </c>
      <c r="L427">
        <v>15000000</v>
      </c>
      <c r="M427">
        <v>47000000</v>
      </c>
      <c r="N427">
        <v>32000000</v>
      </c>
      <c r="O427">
        <v>213.33</v>
      </c>
      <c r="P427" t="s">
        <v>40</v>
      </c>
    </row>
    <row r="428" spans="1:16" x14ac:dyDescent="0.3">
      <c r="A428" s="1" t="s">
        <v>2025</v>
      </c>
      <c r="B428" s="2">
        <v>41152</v>
      </c>
      <c r="C428">
        <v>2012</v>
      </c>
      <c r="D428" s="1" t="s">
        <v>138</v>
      </c>
      <c r="E428" s="1" t="s">
        <v>2026</v>
      </c>
      <c r="F428" s="1" t="s">
        <v>19</v>
      </c>
      <c r="G428" s="1" t="s">
        <v>2027</v>
      </c>
      <c r="H428" s="1" t="s">
        <v>1112</v>
      </c>
      <c r="I428" s="1" t="s">
        <v>19</v>
      </c>
      <c r="J428" s="1" t="s">
        <v>19</v>
      </c>
      <c r="K428" s="1" t="s">
        <v>19</v>
      </c>
      <c r="L428">
        <v>14000000</v>
      </c>
      <c r="M428">
        <v>78500000</v>
      </c>
      <c r="N428">
        <v>64500000</v>
      </c>
      <c r="O428">
        <v>460.71</v>
      </c>
      <c r="P428" t="s">
        <v>23</v>
      </c>
    </row>
    <row r="429" spans="1:16" x14ac:dyDescent="0.3">
      <c r="A429" s="1" t="s">
        <v>2028</v>
      </c>
      <c r="B429" s="2">
        <v>41425</v>
      </c>
      <c r="C429">
        <v>2013</v>
      </c>
      <c r="D429" s="1" t="s">
        <v>145</v>
      </c>
      <c r="E429" s="1" t="s">
        <v>2029</v>
      </c>
      <c r="F429" s="1" t="s">
        <v>19</v>
      </c>
      <c r="G429" s="1" t="s">
        <v>334</v>
      </c>
      <c r="H429" s="1" t="s">
        <v>57</v>
      </c>
      <c r="I429" s="1" t="s">
        <v>2030</v>
      </c>
      <c r="J429" s="1" t="s">
        <v>2031</v>
      </c>
      <c r="K429" s="1" t="s">
        <v>233</v>
      </c>
      <c r="L429">
        <v>3000000</v>
      </c>
      <c r="M429">
        <v>89300000</v>
      </c>
      <c r="N429">
        <v>86300000</v>
      </c>
      <c r="O429">
        <v>2876.67</v>
      </c>
      <c r="P429" t="s">
        <v>23</v>
      </c>
    </row>
    <row r="430" spans="1:16" x14ac:dyDescent="0.3">
      <c r="A430" s="1" t="s">
        <v>2032</v>
      </c>
      <c r="B430" s="2">
        <v>42552</v>
      </c>
      <c r="C430">
        <v>2016</v>
      </c>
      <c r="D430" s="1" t="s">
        <v>138</v>
      </c>
      <c r="E430" s="1" t="s">
        <v>2029</v>
      </c>
      <c r="F430" s="1" t="s">
        <v>19</v>
      </c>
      <c r="G430" s="1" t="s">
        <v>624</v>
      </c>
      <c r="H430" s="1" t="s">
        <v>2033</v>
      </c>
      <c r="I430" s="1" t="s">
        <v>233</v>
      </c>
      <c r="J430" s="1" t="s">
        <v>2034</v>
      </c>
      <c r="K430" s="1" t="s">
        <v>2035</v>
      </c>
      <c r="L430">
        <v>10000000</v>
      </c>
      <c r="M430">
        <v>105600000</v>
      </c>
      <c r="N430">
        <v>95600000</v>
      </c>
      <c r="O430">
        <v>956</v>
      </c>
      <c r="P430" t="s">
        <v>23</v>
      </c>
    </row>
    <row r="431" spans="1:16" x14ac:dyDescent="0.3">
      <c r="A431" s="1" t="s">
        <v>2036</v>
      </c>
      <c r="B431" s="2">
        <v>41660</v>
      </c>
      <c r="C431">
        <v>2014</v>
      </c>
      <c r="D431" s="1" t="s">
        <v>25</v>
      </c>
      <c r="E431" s="1" t="s">
        <v>2037</v>
      </c>
      <c r="F431" s="1" t="s">
        <v>19</v>
      </c>
      <c r="G431" s="1" t="s">
        <v>2038</v>
      </c>
      <c r="H431" s="1" t="s">
        <v>2039</v>
      </c>
      <c r="I431" s="1" t="s">
        <v>2040</v>
      </c>
      <c r="J431" s="1" t="s">
        <v>2041</v>
      </c>
      <c r="K431" s="1" t="s">
        <v>2042</v>
      </c>
      <c r="L431">
        <v>4500000</v>
      </c>
      <c r="M431">
        <v>6600000</v>
      </c>
      <c r="N431">
        <v>2100000</v>
      </c>
      <c r="O431">
        <v>46.67</v>
      </c>
      <c r="P431" t="s">
        <v>32</v>
      </c>
    </row>
    <row r="432" spans="1:16" x14ac:dyDescent="0.3">
      <c r="A432" s="1" t="s">
        <v>2043</v>
      </c>
      <c r="B432" s="2">
        <v>40991</v>
      </c>
      <c r="C432">
        <v>2012</v>
      </c>
      <c r="D432" s="1" t="s">
        <v>25</v>
      </c>
      <c r="E432" s="1" t="s">
        <v>2037</v>
      </c>
      <c r="F432" s="1" t="s">
        <v>19</v>
      </c>
      <c r="G432" s="1" t="s">
        <v>2038</v>
      </c>
      <c r="H432" s="1" t="s">
        <v>2044</v>
      </c>
      <c r="I432" s="1" t="s">
        <v>2045</v>
      </c>
      <c r="J432" s="1" t="s">
        <v>2046</v>
      </c>
      <c r="K432" s="1" t="s">
        <v>2047</v>
      </c>
      <c r="L432">
        <v>1100000</v>
      </c>
      <c r="M432">
        <v>9140000</v>
      </c>
      <c r="N432">
        <v>8040000</v>
      </c>
      <c r="O432">
        <v>730.91</v>
      </c>
      <c r="P432" t="s">
        <v>23</v>
      </c>
    </row>
    <row r="433" spans="1:16" x14ac:dyDescent="0.3">
      <c r="A433" s="1" t="s">
        <v>2048</v>
      </c>
      <c r="B433" s="2">
        <v>41026</v>
      </c>
      <c r="C433">
        <v>2012</v>
      </c>
      <c r="D433" s="1" t="s">
        <v>17</v>
      </c>
      <c r="E433" s="1" t="s">
        <v>2049</v>
      </c>
      <c r="F433" s="1" t="s">
        <v>19</v>
      </c>
      <c r="G433" s="1" t="s">
        <v>586</v>
      </c>
      <c r="H433" s="1" t="s">
        <v>465</v>
      </c>
      <c r="I433" s="1" t="s">
        <v>573</v>
      </c>
      <c r="J433" s="1" t="s">
        <v>1645</v>
      </c>
      <c r="K433" s="1" t="s">
        <v>2050</v>
      </c>
      <c r="L433">
        <v>26000000</v>
      </c>
      <c r="M433">
        <v>29700000</v>
      </c>
      <c r="N433">
        <v>3700000</v>
      </c>
      <c r="O433">
        <v>14.23</v>
      </c>
      <c r="P433" t="s">
        <v>32</v>
      </c>
    </row>
    <row r="434" spans="1:16" x14ac:dyDescent="0.3">
      <c r="A434" s="1" t="s">
        <v>2051</v>
      </c>
      <c r="B434" s="2">
        <v>42363</v>
      </c>
      <c r="C434">
        <v>2015</v>
      </c>
      <c r="D434" s="1" t="s">
        <v>17</v>
      </c>
      <c r="E434" s="1" t="s">
        <v>2052</v>
      </c>
      <c r="F434" s="1" t="s">
        <v>19</v>
      </c>
      <c r="G434" s="1" t="s">
        <v>551</v>
      </c>
      <c r="H434" s="1" t="s">
        <v>427</v>
      </c>
      <c r="I434" s="1" t="s">
        <v>353</v>
      </c>
      <c r="J434" s="1" t="s">
        <v>1961</v>
      </c>
      <c r="K434" s="1" t="s">
        <v>19</v>
      </c>
      <c r="L434">
        <v>135000000</v>
      </c>
      <c r="M434">
        <v>533000000</v>
      </c>
      <c r="N434">
        <v>398000000</v>
      </c>
      <c r="O434">
        <v>294.81</v>
      </c>
      <c r="P434" t="s">
        <v>40</v>
      </c>
    </row>
    <row r="435" spans="1:16" x14ac:dyDescent="0.3">
      <c r="A435" s="1" t="s">
        <v>2053</v>
      </c>
      <c r="B435" s="2">
        <v>42061</v>
      </c>
      <c r="C435">
        <v>2015</v>
      </c>
      <c r="D435" s="1" t="s">
        <v>42</v>
      </c>
      <c r="E435" s="1" t="s">
        <v>1706</v>
      </c>
      <c r="F435" s="1" t="s">
        <v>19</v>
      </c>
      <c r="G435" s="1" t="s">
        <v>1707</v>
      </c>
      <c r="H435" s="1" t="s">
        <v>1708</v>
      </c>
      <c r="I435" s="1" t="s">
        <v>1709</v>
      </c>
      <c r="J435" s="1" t="s">
        <v>2054</v>
      </c>
      <c r="K435" s="1" t="s">
        <v>2055</v>
      </c>
      <c r="L435">
        <v>10000000</v>
      </c>
      <c r="M435">
        <v>86000000</v>
      </c>
      <c r="N435">
        <v>76000000</v>
      </c>
      <c r="O435">
        <v>760</v>
      </c>
      <c r="P435" t="s">
        <v>23</v>
      </c>
    </row>
    <row r="436" spans="1:16" x14ac:dyDescent="0.3">
      <c r="A436" s="1" t="s">
        <v>2056</v>
      </c>
      <c r="B436" s="2">
        <v>42029</v>
      </c>
      <c r="C436">
        <v>2015</v>
      </c>
      <c r="D436" s="1" t="s">
        <v>74</v>
      </c>
      <c r="E436" s="1" t="s">
        <v>2057</v>
      </c>
      <c r="F436" s="1" t="s">
        <v>19</v>
      </c>
      <c r="G436" s="1" t="s">
        <v>2058</v>
      </c>
      <c r="H436" s="1" t="s">
        <v>2059</v>
      </c>
      <c r="I436" s="1" t="s">
        <v>2060</v>
      </c>
      <c r="J436" s="1" t="s">
        <v>19</v>
      </c>
      <c r="K436" s="1" t="s">
        <v>19</v>
      </c>
      <c r="L436">
        <v>4000000</v>
      </c>
      <c r="M436">
        <v>6200000</v>
      </c>
      <c r="N436">
        <v>2200000</v>
      </c>
      <c r="O436">
        <v>55</v>
      </c>
      <c r="P436" t="s">
        <v>32</v>
      </c>
    </row>
    <row r="437" spans="1:16" x14ac:dyDescent="0.3">
      <c r="A437" s="1" t="s">
        <v>2061</v>
      </c>
      <c r="B437" s="2">
        <v>42559</v>
      </c>
      <c r="C437">
        <v>2016</v>
      </c>
      <c r="D437" s="1" t="s">
        <v>132</v>
      </c>
      <c r="E437" s="1" t="s">
        <v>520</v>
      </c>
      <c r="F437" s="1" t="s">
        <v>2062</v>
      </c>
      <c r="G437" s="1" t="s">
        <v>330</v>
      </c>
      <c r="H437" s="1" t="s">
        <v>2063</v>
      </c>
      <c r="I437" s="1" t="s">
        <v>394</v>
      </c>
      <c r="J437" s="1" t="s">
        <v>109</v>
      </c>
      <c r="K437" s="1" t="s">
        <v>2064</v>
      </c>
      <c r="L437">
        <v>75000000</v>
      </c>
      <c r="M437">
        <v>724900000</v>
      </c>
      <c r="N437">
        <v>649900000</v>
      </c>
      <c r="O437">
        <v>866.53</v>
      </c>
      <c r="P437" t="s">
        <v>23</v>
      </c>
    </row>
    <row r="438" spans="1:16" x14ac:dyDescent="0.3">
      <c r="A438" s="1" t="s">
        <v>2065</v>
      </c>
      <c r="B438" s="2">
        <v>40956</v>
      </c>
      <c r="C438">
        <v>2012</v>
      </c>
      <c r="D438" s="1" t="s">
        <v>132</v>
      </c>
      <c r="E438" s="1" t="s">
        <v>2066</v>
      </c>
      <c r="F438" s="1" t="s">
        <v>19</v>
      </c>
      <c r="G438" s="1" t="s">
        <v>1669</v>
      </c>
      <c r="H438" s="1" t="s">
        <v>1586</v>
      </c>
      <c r="I438" s="1" t="s">
        <v>2067</v>
      </c>
      <c r="J438" s="1" t="s">
        <v>2068</v>
      </c>
      <c r="K438" s="1" t="s">
        <v>1061</v>
      </c>
      <c r="L438">
        <v>23000000</v>
      </c>
      <c r="M438">
        <v>145600000</v>
      </c>
      <c r="N438">
        <v>122600000</v>
      </c>
      <c r="O438">
        <v>533.04</v>
      </c>
      <c r="P438" t="s">
        <v>23</v>
      </c>
    </row>
    <row r="439" spans="1:16" x14ac:dyDescent="0.3">
      <c r="A439" s="1" t="s">
        <v>2069</v>
      </c>
      <c r="B439" s="2">
        <v>42542</v>
      </c>
      <c r="C439">
        <v>2016</v>
      </c>
      <c r="D439" s="1" t="s">
        <v>138</v>
      </c>
      <c r="E439" s="1" t="s">
        <v>1254</v>
      </c>
      <c r="F439" s="1" t="s">
        <v>19</v>
      </c>
      <c r="G439" s="1" t="s">
        <v>1534</v>
      </c>
      <c r="H439" s="1" t="s">
        <v>2070</v>
      </c>
      <c r="I439" s="1" t="s">
        <v>19</v>
      </c>
      <c r="J439" s="1" t="s">
        <v>19</v>
      </c>
      <c r="K439" s="1" t="s">
        <v>19</v>
      </c>
      <c r="L439">
        <v>17000000</v>
      </c>
      <c r="M439">
        <v>93200000</v>
      </c>
      <c r="N439">
        <v>76200000</v>
      </c>
      <c r="O439">
        <v>448.24</v>
      </c>
      <c r="P439" t="s">
        <v>23</v>
      </c>
    </row>
    <row r="440" spans="1:16" x14ac:dyDescent="0.3">
      <c r="A440" s="1" t="s">
        <v>2071</v>
      </c>
      <c r="B440" s="2">
        <v>41659</v>
      </c>
      <c r="C440">
        <v>2014</v>
      </c>
      <c r="D440" s="1" t="s">
        <v>145</v>
      </c>
      <c r="E440" s="1" t="s">
        <v>2072</v>
      </c>
      <c r="F440" s="1" t="s">
        <v>19</v>
      </c>
      <c r="G440" s="1" t="s">
        <v>765</v>
      </c>
      <c r="H440" s="1" t="s">
        <v>1126</v>
      </c>
      <c r="I440" s="1" t="s">
        <v>2073</v>
      </c>
      <c r="J440" s="1" t="s">
        <v>2074</v>
      </c>
      <c r="K440" s="1" t="s">
        <v>19</v>
      </c>
      <c r="L440">
        <v>4000000</v>
      </c>
      <c r="M440">
        <v>2420000</v>
      </c>
      <c r="N440">
        <v>-1580000</v>
      </c>
      <c r="O440">
        <v>-39.5</v>
      </c>
      <c r="P440" t="s">
        <v>72</v>
      </c>
    </row>
    <row r="441" spans="1:16" x14ac:dyDescent="0.3">
      <c r="A441" s="1" t="s">
        <v>2075</v>
      </c>
      <c r="B441" s="2">
        <v>41712</v>
      </c>
      <c r="C441">
        <v>2014</v>
      </c>
      <c r="D441" s="1" t="s">
        <v>42</v>
      </c>
      <c r="E441" s="1" t="s">
        <v>160</v>
      </c>
      <c r="F441" s="1" t="s">
        <v>19</v>
      </c>
      <c r="G441" s="1" t="s">
        <v>160</v>
      </c>
      <c r="H441" s="1" t="s">
        <v>2076</v>
      </c>
      <c r="I441" s="1" t="s">
        <v>2077</v>
      </c>
      <c r="J441" s="1" t="s">
        <v>2078</v>
      </c>
      <c r="K441" s="1" t="s">
        <v>2079</v>
      </c>
      <c r="L441">
        <v>8000000</v>
      </c>
      <c r="M441">
        <v>16300000</v>
      </c>
      <c r="N441">
        <v>8300000</v>
      </c>
      <c r="O441">
        <v>103.75</v>
      </c>
      <c r="P441" t="s">
        <v>40</v>
      </c>
    </row>
    <row r="442" spans="1:16" x14ac:dyDescent="0.3">
      <c r="A442" s="1" t="s">
        <v>2080</v>
      </c>
      <c r="B442" s="2">
        <v>41486</v>
      </c>
      <c r="C442">
        <v>2013</v>
      </c>
      <c r="D442" s="1" t="s">
        <v>132</v>
      </c>
      <c r="E442" s="1" t="s">
        <v>2081</v>
      </c>
      <c r="F442" s="1" t="s">
        <v>19</v>
      </c>
      <c r="G442" s="1" t="s">
        <v>777</v>
      </c>
      <c r="H442" s="1" t="s">
        <v>2082</v>
      </c>
      <c r="I442" s="1" t="s">
        <v>2083</v>
      </c>
      <c r="J442" s="1" t="s">
        <v>2084</v>
      </c>
      <c r="K442" s="1" t="s">
        <v>1645</v>
      </c>
      <c r="L442">
        <v>105000000</v>
      </c>
      <c r="M442">
        <v>347500000</v>
      </c>
      <c r="N442">
        <v>242500000</v>
      </c>
      <c r="O442">
        <v>230.95</v>
      </c>
      <c r="P442" t="s">
        <v>40</v>
      </c>
    </row>
    <row r="443" spans="1:16" x14ac:dyDescent="0.3">
      <c r="A443" s="1" t="s">
        <v>2085</v>
      </c>
      <c r="B443" s="2">
        <v>41488</v>
      </c>
      <c r="C443">
        <v>2013</v>
      </c>
      <c r="D443" s="1" t="s">
        <v>74</v>
      </c>
      <c r="E443" s="1" t="s">
        <v>2086</v>
      </c>
      <c r="F443" s="1" t="s">
        <v>19</v>
      </c>
      <c r="G443" s="1" t="s">
        <v>665</v>
      </c>
      <c r="H443" s="1" t="s">
        <v>544</v>
      </c>
      <c r="I443" s="1" t="s">
        <v>2087</v>
      </c>
      <c r="J443" s="1" t="s">
        <v>48</v>
      </c>
      <c r="K443" s="1" t="s">
        <v>2088</v>
      </c>
      <c r="L443">
        <v>2500000</v>
      </c>
      <c r="M443">
        <v>6900000</v>
      </c>
      <c r="N443">
        <v>4400000</v>
      </c>
      <c r="O443">
        <v>176</v>
      </c>
      <c r="P443" t="s">
        <v>40</v>
      </c>
    </row>
    <row r="444" spans="1:16" x14ac:dyDescent="0.3">
      <c r="A444" s="1" t="s">
        <v>2089</v>
      </c>
      <c r="B444" s="2">
        <v>42041</v>
      </c>
      <c r="C444">
        <v>2015</v>
      </c>
      <c r="D444" s="1" t="s">
        <v>132</v>
      </c>
      <c r="E444" s="1" t="s">
        <v>2090</v>
      </c>
      <c r="F444" s="1" t="s">
        <v>2091</v>
      </c>
      <c r="G444" s="1" t="s">
        <v>2092</v>
      </c>
      <c r="H444" s="1" t="s">
        <v>2091</v>
      </c>
      <c r="I444" s="1" t="s">
        <v>2093</v>
      </c>
      <c r="J444" s="1" t="s">
        <v>1684</v>
      </c>
      <c r="K444" s="1" t="s">
        <v>2094</v>
      </c>
      <c r="L444">
        <v>74000000</v>
      </c>
      <c r="M444">
        <v>323400000</v>
      </c>
      <c r="N444">
        <v>249400000</v>
      </c>
      <c r="O444">
        <v>337.03</v>
      </c>
      <c r="P444" t="s">
        <v>23</v>
      </c>
    </row>
    <row r="445" spans="1:16" x14ac:dyDescent="0.3">
      <c r="A445" s="1" t="s">
        <v>2095</v>
      </c>
      <c r="B445" s="2">
        <v>42165</v>
      </c>
      <c r="C445">
        <v>2015</v>
      </c>
      <c r="D445" s="1" t="s">
        <v>42</v>
      </c>
      <c r="E445" s="1" t="s">
        <v>2096</v>
      </c>
      <c r="F445" s="1" t="s">
        <v>19</v>
      </c>
      <c r="G445" s="1" t="s">
        <v>2096</v>
      </c>
      <c r="H445" s="1" t="s">
        <v>2097</v>
      </c>
      <c r="I445" s="1" t="s">
        <v>2098</v>
      </c>
      <c r="J445" s="1" t="s">
        <v>2099</v>
      </c>
      <c r="K445" s="1" t="s">
        <v>19</v>
      </c>
      <c r="L445">
        <v>3800000</v>
      </c>
      <c r="M445">
        <v>3300000</v>
      </c>
      <c r="N445">
        <v>-500000</v>
      </c>
      <c r="O445">
        <v>-13.16</v>
      </c>
      <c r="P445" t="s">
        <v>72</v>
      </c>
    </row>
    <row r="446" spans="1:16" x14ac:dyDescent="0.3">
      <c r="A446" s="1" t="s">
        <v>2100</v>
      </c>
      <c r="B446" s="2">
        <v>41889</v>
      </c>
      <c r="C446">
        <v>2014</v>
      </c>
      <c r="D446" s="1" t="s">
        <v>59</v>
      </c>
      <c r="E446" s="1" t="s">
        <v>2101</v>
      </c>
      <c r="F446" s="1" t="s">
        <v>19</v>
      </c>
      <c r="G446" s="1" t="s">
        <v>1035</v>
      </c>
      <c r="H446" s="1" t="s">
        <v>2102</v>
      </c>
      <c r="I446" s="1" t="s">
        <v>19</v>
      </c>
      <c r="J446" s="1" t="s">
        <v>19</v>
      </c>
      <c r="K446" s="1" t="s">
        <v>19</v>
      </c>
      <c r="L446">
        <v>15000000</v>
      </c>
      <c r="M446">
        <v>123700000</v>
      </c>
      <c r="N446">
        <v>108700000</v>
      </c>
      <c r="O446">
        <v>724.67</v>
      </c>
      <c r="P446" t="s">
        <v>23</v>
      </c>
    </row>
    <row r="447" spans="1:16" x14ac:dyDescent="0.3">
      <c r="A447" s="1" t="s">
        <v>2103</v>
      </c>
      <c r="B447" s="2">
        <v>41012</v>
      </c>
      <c r="C447">
        <v>2012</v>
      </c>
      <c r="D447" s="1" t="s">
        <v>42</v>
      </c>
      <c r="E447" s="1" t="s">
        <v>591</v>
      </c>
      <c r="F447" s="1" t="s">
        <v>590</v>
      </c>
      <c r="G447" s="1" t="s">
        <v>2104</v>
      </c>
      <c r="H447" s="1" t="s">
        <v>2105</v>
      </c>
      <c r="I447" s="1" t="s">
        <v>2106</v>
      </c>
      <c r="J447" s="1" t="s">
        <v>2107</v>
      </c>
      <c r="K447" s="1" t="s">
        <v>2108</v>
      </c>
      <c r="L447">
        <v>30000000</v>
      </c>
      <c r="M447">
        <v>54800000</v>
      </c>
      <c r="N447">
        <v>24800000</v>
      </c>
      <c r="O447">
        <v>82.67</v>
      </c>
      <c r="P447" t="s">
        <v>32</v>
      </c>
    </row>
    <row r="448" spans="1:16" x14ac:dyDescent="0.3">
      <c r="A448" s="1" t="s">
        <v>2109</v>
      </c>
      <c r="B448" s="2">
        <v>42251</v>
      </c>
      <c r="C448">
        <v>2015</v>
      </c>
      <c r="D448" s="1" t="s">
        <v>25</v>
      </c>
      <c r="E448" s="1" t="s">
        <v>338</v>
      </c>
      <c r="F448" s="1" t="s">
        <v>19</v>
      </c>
      <c r="G448" s="1" t="s">
        <v>507</v>
      </c>
      <c r="H448" s="1" t="s">
        <v>2110</v>
      </c>
      <c r="I448" s="1" t="s">
        <v>2111</v>
      </c>
      <c r="J448" s="1" t="s">
        <v>2112</v>
      </c>
      <c r="K448" s="1" t="s">
        <v>19</v>
      </c>
      <c r="L448">
        <v>25000000</v>
      </c>
      <c r="M448">
        <v>72600000</v>
      </c>
      <c r="N448">
        <v>47600000</v>
      </c>
      <c r="O448">
        <v>190.4</v>
      </c>
      <c r="P448" t="s">
        <v>40</v>
      </c>
    </row>
    <row r="449" spans="1:16" x14ac:dyDescent="0.3">
      <c r="A449" s="1" t="s">
        <v>2113</v>
      </c>
      <c r="B449" s="2">
        <v>41229</v>
      </c>
      <c r="C449">
        <v>2012</v>
      </c>
      <c r="D449" s="1" t="s">
        <v>279</v>
      </c>
      <c r="E449" s="1" t="s">
        <v>2114</v>
      </c>
      <c r="F449" s="1" t="s">
        <v>19</v>
      </c>
      <c r="G449" s="1" t="s">
        <v>194</v>
      </c>
      <c r="H449" s="1" t="s">
        <v>2115</v>
      </c>
      <c r="I449" s="1" t="s">
        <v>2116</v>
      </c>
      <c r="J449" s="1" t="s">
        <v>2117</v>
      </c>
      <c r="K449" s="1" t="s">
        <v>2118</v>
      </c>
      <c r="L449">
        <v>120000000</v>
      </c>
      <c r="M449">
        <v>829700000</v>
      </c>
      <c r="N449">
        <v>709700000</v>
      </c>
      <c r="O449">
        <v>591.41999999999996</v>
      </c>
      <c r="P449" t="s">
        <v>23</v>
      </c>
    </row>
    <row r="450" spans="1:16" x14ac:dyDescent="0.3">
      <c r="A450" s="1" t="s">
        <v>2119</v>
      </c>
      <c r="B450" s="2">
        <v>42210</v>
      </c>
      <c r="C450">
        <v>2015</v>
      </c>
      <c r="D450" s="1" t="s">
        <v>138</v>
      </c>
      <c r="E450" s="1" t="s">
        <v>738</v>
      </c>
      <c r="F450" s="1" t="s">
        <v>19</v>
      </c>
      <c r="G450" s="1" t="s">
        <v>2120</v>
      </c>
      <c r="H450" s="1" t="s">
        <v>223</v>
      </c>
      <c r="I450" s="1" t="s">
        <v>1934</v>
      </c>
      <c r="J450" s="1" t="s">
        <v>2121</v>
      </c>
      <c r="K450" s="1" t="s">
        <v>2122</v>
      </c>
      <c r="L450">
        <v>13000000</v>
      </c>
      <c r="M450">
        <v>13500000</v>
      </c>
      <c r="N450">
        <v>500000</v>
      </c>
      <c r="O450">
        <v>3.85</v>
      </c>
      <c r="P450" t="s">
        <v>32</v>
      </c>
    </row>
    <row r="451" spans="1:16" x14ac:dyDescent="0.3">
      <c r="A451" s="1" t="s">
        <v>2123</v>
      </c>
      <c r="B451" s="2">
        <v>42255</v>
      </c>
      <c r="C451">
        <v>2015</v>
      </c>
      <c r="D451" s="1" t="s">
        <v>138</v>
      </c>
      <c r="E451" s="1" t="s">
        <v>146</v>
      </c>
      <c r="F451" s="1" t="s">
        <v>19</v>
      </c>
      <c r="G451" s="1" t="s">
        <v>243</v>
      </c>
      <c r="H451" s="1" t="s">
        <v>2124</v>
      </c>
      <c r="I451" s="1" t="s">
        <v>2125</v>
      </c>
      <c r="J451" s="1" t="s">
        <v>2126</v>
      </c>
      <c r="K451" s="1" t="s">
        <v>2127</v>
      </c>
      <c r="L451">
        <v>5000000</v>
      </c>
      <c r="M451">
        <v>98500000</v>
      </c>
      <c r="N451">
        <v>93500000</v>
      </c>
      <c r="O451">
        <v>1870</v>
      </c>
      <c r="P451" t="s">
        <v>23</v>
      </c>
    </row>
    <row r="452" spans="1:16" x14ac:dyDescent="0.3">
      <c r="A452" s="1" t="s">
        <v>2128</v>
      </c>
      <c r="B452" s="2">
        <v>42277</v>
      </c>
      <c r="C452">
        <v>2015</v>
      </c>
      <c r="D452" s="1" t="s">
        <v>59</v>
      </c>
      <c r="E452" s="1" t="s">
        <v>673</v>
      </c>
      <c r="F452" s="1" t="s">
        <v>19</v>
      </c>
      <c r="G452" s="1" t="s">
        <v>1057</v>
      </c>
      <c r="H452" s="1" t="s">
        <v>1548</v>
      </c>
      <c r="I452" s="1" t="s">
        <v>27</v>
      </c>
      <c r="J452" s="1" t="s">
        <v>2129</v>
      </c>
      <c r="K452" s="1" t="s">
        <v>19</v>
      </c>
      <c r="L452">
        <v>45000000</v>
      </c>
      <c r="M452">
        <v>61200000</v>
      </c>
      <c r="N452">
        <v>16200000</v>
      </c>
      <c r="O452">
        <v>36</v>
      </c>
      <c r="P452" t="s">
        <v>32</v>
      </c>
    </row>
    <row r="453" spans="1:16" x14ac:dyDescent="0.3">
      <c r="A453" s="1" t="s">
        <v>2130</v>
      </c>
      <c r="B453" s="2">
        <v>41117</v>
      </c>
      <c r="C453">
        <v>2012</v>
      </c>
      <c r="D453" s="1" t="s">
        <v>42</v>
      </c>
      <c r="E453" s="1" t="s">
        <v>1395</v>
      </c>
      <c r="F453" s="1" t="s">
        <v>19</v>
      </c>
      <c r="G453" s="1" t="s">
        <v>1226</v>
      </c>
      <c r="H453" s="1" t="s">
        <v>1895</v>
      </c>
      <c r="I453" s="1" t="s">
        <v>997</v>
      </c>
      <c r="J453" s="1" t="s">
        <v>45</v>
      </c>
      <c r="K453" s="1" t="s">
        <v>2131</v>
      </c>
      <c r="L453">
        <v>68000000</v>
      </c>
      <c r="M453">
        <v>68300000</v>
      </c>
      <c r="N453">
        <v>300000</v>
      </c>
      <c r="O453">
        <v>0.44</v>
      </c>
      <c r="P453" t="s">
        <v>32</v>
      </c>
    </row>
    <row r="454" spans="1:16" x14ac:dyDescent="0.3">
      <c r="A454" s="1" t="s">
        <v>2132</v>
      </c>
      <c r="B454" s="2">
        <v>41999</v>
      </c>
      <c r="C454">
        <v>2014</v>
      </c>
      <c r="D454" s="1" t="s">
        <v>74</v>
      </c>
      <c r="E454" s="1" t="s">
        <v>1034</v>
      </c>
      <c r="F454" s="1" t="s">
        <v>19</v>
      </c>
      <c r="G454" s="1" t="s">
        <v>2133</v>
      </c>
      <c r="H454" s="1" t="s">
        <v>2134</v>
      </c>
      <c r="I454" s="1" t="s">
        <v>2135</v>
      </c>
      <c r="J454" s="1" t="s">
        <v>19</v>
      </c>
      <c r="K454" s="1" t="s">
        <v>19</v>
      </c>
      <c r="L454">
        <v>22500000</v>
      </c>
      <c r="M454">
        <v>30800000</v>
      </c>
      <c r="N454">
        <v>8300000</v>
      </c>
      <c r="O454">
        <v>36.89</v>
      </c>
      <c r="P454" t="s">
        <v>32</v>
      </c>
    </row>
    <row r="455" spans="1:16" x14ac:dyDescent="0.3">
      <c r="A455" s="1" t="s">
        <v>2136</v>
      </c>
      <c r="B455" s="2">
        <v>41460</v>
      </c>
      <c r="C455">
        <v>2013</v>
      </c>
      <c r="D455" s="1" t="s">
        <v>42</v>
      </c>
      <c r="E455" s="1" t="s">
        <v>2137</v>
      </c>
      <c r="F455" s="1" t="s">
        <v>2138</v>
      </c>
      <c r="G455" s="1" t="s">
        <v>522</v>
      </c>
      <c r="H455" s="1" t="s">
        <v>99</v>
      </c>
      <c r="I455" s="1" t="s">
        <v>123</v>
      </c>
      <c r="J455" s="1" t="s">
        <v>2139</v>
      </c>
      <c r="K455" s="1" t="s">
        <v>1383</v>
      </c>
      <c r="L455">
        <v>5000000</v>
      </c>
      <c r="M455">
        <v>5000000</v>
      </c>
      <c r="N455">
        <v>0</v>
      </c>
      <c r="O455">
        <v>0</v>
      </c>
      <c r="P455" t="s">
        <v>32</v>
      </c>
    </row>
    <row r="456" spans="1:16" x14ac:dyDescent="0.3">
      <c r="A456" s="1" t="s">
        <v>2140</v>
      </c>
      <c r="B456" s="2">
        <v>42020</v>
      </c>
      <c r="C456">
        <v>2015</v>
      </c>
      <c r="D456" s="1" t="s">
        <v>166</v>
      </c>
      <c r="E456" s="1" t="s">
        <v>2141</v>
      </c>
      <c r="F456" s="1" t="s">
        <v>19</v>
      </c>
      <c r="G456" s="1" t="s">
        <v>394</v>
      </c>
      <c r="H456" s="1" t="s">
        <v>972</v>
      </c>
      <c r="I456" s="1" t="s">
        <v>2142</v>
      </c>
      <c r="J456" s="1" t="s">
        <v>2143</v>
      </c>
      <c r="K456" s="1" t="s">
        <v>1664</v>
      </c>
      <c r="L456">
        <v>23000000</v>
      </c>
      <c r="M456">
        <v>79800000</v>
      </c>
      <c r="N456">
        <v>56800000</v>
      </c>
      <c r="O456">
        <v>246.96</v>
      </c>
      <c r="P456" t="s">
        <v>40</v>
      </c>
    </row>
    <row r="457" spans="1:16" x14ac:dyDescent="0.3">
      <c r="A457" s="1" t="s">
        <v>2144</v>
      </c>
      <c r="B457" s="2">
        <v>42396</v>
      </c>
      <c r="C457">
        <v>2016</v>
      </c>
      <c r="D457" s="1" t="s">
        <v>138</v>
      </c>
      <c r="E457" s="1" t="s">
        <v>2145</v>
      </c>
      <c r="F457" s="1" t="s">
        <v>19</v>
      </c>
      <c r="G457" s="1" t="s">
        <v>2146</v>
      </c>
      <c r="H457" s="1" t="s">
        <v>2147</v>
      </c>
      <c r="I457" s="1" t="s">
        <v>2148</v>
      </c>
      <c r="J457" s="1" t="s">
        <v>19</v>
      </c>
      <c r="K457" s="1" t="s">
        <v>19</v>
      </c>
      <c r="L457">
        <v>3000000</v>
      </c>
      <c r="M457">
        <v>40400000</v>
      </c>
      <c r="N457">
        <v>37400000</v>
      </c>
      <c r="O457">
        <v>1246.67</v>
      </c>
      <c r="P457" t="s">
        <v>23</v>
      </c>
    </row>
    <row r="458" spans="1:16" x14ac:dyDescent="0.3">
      <c r="A458" s="1" t="s">
        <v>2149</v>
      </c>
      <c r="B458" s="2">
        <v>41479</v>
      </c>
      <c r="C458">
        <v>2013</v>
      </c>
      <c r="D458" s="1" t="s">
        <v>25</v>
      </c>
      <c r="E458" s="1" t="s">
        <v>2150</v>
      </c>
      <c r="F458" s="1" t="s">
        <v>19</v>
      </c>
      <c r="G458" s="1" t="s">
        <v>406</v>
      </c>
      <c r="H458" s="1" t="s">
        <v>811</v>
      </c>
      <c r="I458" s="1" t="s">
        <v>2151</v>
      </c>
      <c r="J458" s="1" t="s">
        <v>2152</v>
      </c>
      <c r="K458" s="1" t="s">
        <v>2153</v>
      </c>
      <c r="L458">
        <v>120000000</v>
      </c>
      <c r="M458">
        <v>414800000</v>
      </c>
      <c r="N458">
        <v>294800000</v>
      </c>
      <c r="O458">
        <v>245.67</v>
      </c>
      <c r="P458" t="s">
        <v>40</v>
      </c>
    </row>
    <row r="459" spans="1:16" x14ac:dyDescent="0.3">
      <c r="A459" s="1" t="s">
        <v>2154</v>
      </c>
      <c r="B459" s="2">
        <v>40942</v>
      </c>
      <c r="C459">
        <v>2012</v>
      </c>
      <c r="D459" s="1" t="s">
        <v>138</v>
      </c>
      <c r="E459" s="1" t="s">
        <v>2155</v>
      </c>
      <c r="F459" s="1" t="s">
        <v>19</v>
      </c>
      <c r="G459" s="1" t="s">
        <v>2156</v>
      </c>
      <c r="H459" s="1" t="s">
        <v>743</v>
      </c>
      <c r="I459" s="1" t="s">
        <v>1135</v>
      </c>
      <c r="J459" s="1" t="s">
        <v>2157</v>
      </c>
      <c r="K459" s="1" t="s">
        <v>2158</v>
      </c>
      <c r="L459">
        <v>15000000</v>
      </c>
      <c r="M459">
        <v>128500000</v>
      </c>
      <c r="N459">
        <v>113500000</v>
      </c>
      <c r="O459">
        <v>756.67</v>
      </c>
      <c r="P459" t="s">
        <v>23</v>
      </c>
    </row>
    <row r="460" spans="1:16" x14ac:dyDescent="0.3">
      <c r="A460" s="1" t="s">
        <v>2159</v>
      </c>
      <c r="B460" s="2">
        <v>42003</v>
      </c>
      <c r="C460">
        <v>2014</v>
      </c>
      <c r="D460" s="1" t="s">
        <v>138</v>
      </c>
      <c r="E460" s="1" t="s">
        <v>2160</v>
      </c>
      <c r="F460" s="1" t="s">
        <v>19</v>
      </c>
      <c r="G460" s="1" t="s">
        <v>2161</v>
      </c>
      <c r="H460" s="1" t="s">
        <v>2162</v>
      </c>
      <c r="I460" s="1" t="s">
        <v>2163</v>
      </c>
      <c r="J460" s="1" t="s">
        <v>2164</v>
      </c>
      <c r="K460" s="1" t="s">
        <v>2165</v>
      </c>
      <c r="L460">
        <v>15000000</v>
      </c>
      <c r="M460">
        <v>48900000</v>
      </c>
      <c r="N460">
        <v>33900000</v>
      </c>
      <c r="O460">
        <v>226</v>
      </c>
      <c r="P460" t="s">
        <v>40</v>
      </c>
    </row>
    <row r="461" spans="1:16" x14ac:dyDescent="0.3">
      <c r="A461" s="1" t="s">
        <v>2166</v>
      </c>
      <c r="B461" s="2">
        <v>41474</v>
      </c>
      <c r="C461">
        <v>2013</v>
      </c>
      <c r="D461" s="1" t="s">
        <v>42</v>
      </c>
      <c r="E461" s="1" t="s">
        <v>2167</v>
      </c>
      <c r="F461" s="1" t="s">
        <v>19</v>
      </c>
      <c r="G461" s="1" t="s">
        <v>1158</v>
      </c>
      <c r="H461" s="1" t="s">
        <v>1872</v>
      </c>
      <c r="I461" s="1" t="s">
        <v>2168</v>
      </c>
      <c r="J461" s="1" t="s">
        <v>1856</v>
      </c>
      <c r="K461" s="1" t="s">
        <v>2169</v>
      </c>
      <c r="L461">
        <v>20000000</v>
      </c>
      <c r="M461">
        <v>46100000</v>
      </c>
      <c r="N461">
        <v>26100000</v>
      </c>
      <c r="O461">
        <v>130.5</v>
      </c>
      <c r="P461" t="s">
        <v>40</v>
      </c>
    </row>
    <row r="462" spans="1:16" x14ac:dyDescent="0.3">
      <c r="A462" s="1" t="s">
        <v>2170</v>
      </c>
      <c r="B462" s="2">
        <v>42440</v>
      </c>
      <c r="C462">
        <v>2016</v>
      </c>
      <c r="D462" s="1" t="s">
        <v>74</v>
      </c>
      <c r="E462" s="1" t="s">
        <v>2171</v>
      </c>
      <c r="F462" s="1" t="s">
        <v>19</v>
      </c>
      <c r="G462" s="1" t="s">
        <v>2172</v>
      </c>
      <c r="H462" s="1" t="s">
        <v>1569</v>
      </c>
      <c r="I462" s="1" t="s">
        <v>19</v>
      </c>
      <c r="J462" s="1" t="s">
        <v>19</v>
      </c>
      <c r="K462" s="1" t="s">
        <v>19</v>
      </c>
      <c r="L462">
        <v>18500000</v>
      </c>
      <c r="M462">
        <v>7200000</v>
      </c>
      <c r="N462">
        <v>-11300000</v>
      </c>
      <c r="O462">
        <v>-61.08</v>
      </c>
      <c r="P462" t="s">
        <v>72</v>
      </c>
    </row>
    <row r="463" spans="1:16" x14ac:dyDescent="0.3">
      <c r="A463" s="1" t="s">
        <v>2173</v>
      </c>
      <c r="B463" s="2">
        <v>41019</v>
      </c>
      <c r="C463">
        <v>2012</v>
      </c>
      <c r="D463" s="1" t="s">
        <v>42</v>
      </c>
      <c r="E463" s="1" t="s">
        <v>1474</v>
      </c>
      <c r="F463" s="1" t="s">
        <v>19</v>
      </c>
      <c r="G463" s="1" t="s">
        <v>394</v>
      </c>
      <c r="H463" s="1" t="s">
        <v>2005</v>
      </c>
      <c r="I463" s="1" t="s">
        <v>1240</v>
      </c>
      <c r="J463" s="1" t="s">
        <v>636</v>
      </c>
      <c r="K463" s="1" t="s">
        <v>2174</v>
      </c>
      <c r="L463">
        <v>12000000</v>
      </c>
      <c r="M463">
        <v>96100000</v>
      </c>
      <c r="N463">
        <v>84100000</v>
      </c>
      <c r="O463">
        <v>700.83</v>
      </c>
      <c r="P463" t="s">
        <v>23</v>
      </c>
    </row>
    <row r="464" spans="1:16" x14ac:dyDescent="0.3">
      <c r="A464" s="1" t="s">
        <v>2175</v>
      </c>
      <c r="B464" s="2">
        <v>41437</v>
      </c>
      <c r="C464">
        <v>2013</v>
      </c>
      <c r="D464" s="1" t="s">
        <v>42</v>
      </c>
      <c r="E464" s="1" t="s">
        <v>1898</v>
      </c>
      <c r="F464" s="1" t="s">
        <v>1018</v>
      </c>
      <c r="G464" s="1" t="s">
        <v>1018</v>
      </c>
      <c r="H464" s="1" t="s">
        <v>861</v>
      </c>
      <c r="I464" s="1" t="s">
        <v>1899</v>
      </c>
      <c r="J464" s="1" t="s">
        <v>2176</v>
      </c>
      <c r="K464" s="1" t="s">
        <v>1704</v>
      </c>
      <c r="L464">
        <v>32000000</v>
      </c>
      <c r="M464">
        <v>126000000</v>
      </c>
      <c r="N464">
        <v>94000000</v>
      </c>
      <c r="O464">
        <v>293.75</v>
      </c>
      <c r="P464" t="s">
        <v>40</v>
      </c>
    </row>
    <row r="465" spans="1:16" x14ac:dyDescent="0.3">
      <c r="A465" s="1" t="s">
        <v>2177</v>
      </c>
      <c r="B465" s="2">
        <v>41901</v>
      </c>
      <c r="C465">
        <v>2014</v>
      </c>
      <c r="D465" s="1" t="s">
        <v>42</v>
      </c>
      <c r="E465" s="1" t="s">
        <v>1225</v>
      </c>
      <c r="F465" s="1" t="s">
        <v>19</v>
      </c>
      <c r="G465" s="1" t="s">
        <v>845</v>
      </c>
      <c r="H465" s="1" t="s">
        <v>1587</v>
      </c>
      <c r="I465" s="1" t="s">
        <v>2178</v>
      </c>
      <c r="J465" s="1" t="s">
        <v>1186</v>
      </c>
      <c r="K465" s="1" t="s">
        <v>222</v>
      </c>
      <c r="L465">
        <v>19800000</v>
      </c>
      <c r="M465">
        <v>41300000</v>
      </c>
      <c r="N465">
        <v>21500000</v>
      </c>
      <c r="O465">
        <v>108.59</v>
      </c>
      <c r="P465" t="s">
        <v>40</v>
      </c>
    </row>
    <row r="466" spans="1:16" x14ac:dyDescent="0.3">
      <c r="A466" s="1" t="s">
        <v>2179</v>
      </c>
      <c r="B466" s="2">
        <v>40956</v>
      </c>
      <c r="C466">
        <v>2012</v>
      </c>
      <c r="D466" s="1" t="s">
        <v>25</v>
      </c>
      <c r="E466" s="1" t="s">
        <v>2180</v>
      </c>
      <c r="F466" s="1" t="s">
        <v>19</v>
      </c>
      <c r="G466" s="1" t="s">
        <v>427</v>
      </c>
      <c r="H466" s="1" t="s">
        <v>941</v>
      </c>
      <c r="I466" s="1" t="s">
        <v>851</v>
      </c>
      <c r="J466" s="1" t="s">
        <v>705</v>
      </c>
      <c r="K466" s="1" t="s">
        <v>2181</v>
      </c>
      <c r="L466">
        <v>65000000</v>
      </c>
      <c r="M466">
        <v>156500000</v>
      </c>
      <c r="N466">
        <v>91500000</v>
      </c>
      <c r="O466">
        <v>140.77000000000001</v>
      </c>
      <c r="P466" t="s">
        <v>40</v>
      </c>
    </row>
    <row r="467" spans="1:16" x14ac:dyDescent="0.3">
      <c r="A467" s="1" t="s">
        <v>2182</v>
      </c>
      <c r="B467" s="2">
        <v>41888</v>
      </c>
      <c r="C467">
        <v>2014</v>
      </c>
      <c r="D467" s="1" t="s">
        <v>42</v>
      </c>
      <c r="E467" s="1" t="s">
        <v>792</v>
      </c>
      <c r="F467" s="1" t="s">
        <v>19</v>
      </c>
      <c r="G467" s="1" t="s">
        <v>792</v>
      </c>
      <c r="H467" s="1" t="s">
        <v>398</v>
      </c>
      <c r="I467" s="1" t="s">
        <v>2183</v>
      </c>
      <c r="J467" s="1" t="s">
        <v>2184</v>
      </c>
      <c r="K467" s="1" t="s">
        <v>2185</v>
      </c>
      <c r="L467">
        <v>12000000</v>
      </c>
      <c r="M467">
        <v>26100000</v>
      </c>
      <c r="N467">
        <v>14100000</v>
      </c>
      <c r="O467">
        <v>117.5</v>
      </c>
      <c r="P467" t="s">
        <v>40</v>
      </c>
    </row>
    <row r="468" spans="1:16" x14ac:dyDescent="0.3">
      <c r="A468" s="1" t="s">
        <v>2186</v>
      </c>
      <c r="B468" s="2">
        <v>41313</v>
      </c>
      <c r="C468">
        <v>2013</v>
      </c>
      <c r="D468" s="1" t="s">
        <v>25</v>
      </c>
      <c r="E468" s="1" t="s">
        <v>2187</v>
      </c>
      <c r="F468" s="1" t="s">
        <v>19</v>
      </c>
      <c r="G468" s="1" t="s">
        <v>608</v>
      </c>
      <c r="H468" s="1" t="s">
        <v>2188</v>
      </c>
      <c r="I468" s="1" t="s">
        <v>2189</v>
      </c>
      <c r="J468" s="1" t="s">
        <v>2190</v>
      </c>
      <c r="K468" s="1" t="s">
        <v>2191</v>
      </c>
      <c r="L468">
        <v>15000000</v>
      </c>
      <c r="M468">
        <v>356800000</v>
      </c>
      <c r="N468">
        <v>341800000</v>
      </c>
      <c r="O468">
        <v>2278.67</v>
      </c>
      <c r="P468" t="s">
        <v>23</v>
      </c>
    </row>
    <row r="469" spans="1:16" x14ac:dyDescent="0.3">
      <c r="A469" s="1" t="s">
        <v>2192</v>
      </c>
      <c r="B469" s="2">
        <v>41124</v>
      </c>
      <c r="C469">
        <v>2012</v>
      </c>
      <c r="D469" s="1" t="s">
        <v>25</v>
      </c>
      <c r="E469" s="1" t="s">
        <v>2193</v>
      </c>
      <c r="F469" s="1" t="s">
        <v>19</v>
      </c>
      <c r="G469" s="1" t="s">
        <v>499</v>
      </c>
      <c r="H469" s="1" t="s">
        <v>2194</v>
      </c>
      <c r="I469" s="1" t="s">
        <v>227</v>
      </c>
      <c r="J469" s="1" t="s">
        <v>2195</v>
      </c>
      <c r="K469" s="1" t="s">
        <v>1708</v>
      </c>
      <c r="L469">
        <v>125000000</v>
      </c>
      <c r="M469">
        <v>198500000</v>
      </c>
      <c r="N469">
        <v>73500000</v>
      </c>
      <c r="O469">
        <v>58.8</v>
      </c>
      <c r="P469" t="s">
        <v>32</v>
      </c>
    </row>
    <row r="470" spans="1:16" x14ac:dyDescent="0.3">
      <c r="A470" s="1" t="s">
        <v>2196</v>
      </c>
      <c r="B470" s="2">
        <v>41360</v>
      </c>
      <c r="C470">
        <v>2013</v>
      </c>
      <c r="D470" s="1" t="s">
        <v>125</v>
      </c>
      <c r="E470" s="1" t="s">
        <v>1634</v>
      </c>
      <c r="F470" s="1" t="s">
        <v>19</v>
      </c>
      <c r="G470" s="1" t="s">
        <v>2197</v>
      </c>
      <c r="H470" s="1" t="s">
        <v>951</v>
      </c>
      <c r="I470" s="1" t="s">
        <v>398</v>
      </c>
      <c r="J470" s="1" t="s">
        <v>2198</v>
      </c>
      <c r="K470" s="1" t="s">
        <v>2199</v>
      </c>
      <c r="L470">
        <v>20000000</v>
      </c>
      <c r="M470">
        <v>24300000</v>
      </c>
      <c r="N470">
        <v>4300000</v>
      </c>
      <c r="O470">
        <v>21.5</v>
      </c>
      <c r="P470" t="s">
        <v>32</v>
      </c>
    </row>
    <row r="471" spans="1:16" x14ac:dyDescent="0.3">
      <c r="A471" s="1" t="s">
        <v>2200</v>
      </c>
      <c r="B471" s="2">
        <v>41739</v>
      </c>
      <c r="C471">
        <v>2014</v>
      </c>
      <c r="D471" s="1" t="s">
        <v>145</v>
      </c>
      <c r="E471" s="1" t="s">
        <v>2201</v>
      </c>
      <c r="F471" s="1" t="s">
        <v>19</v>
      </c>
      <c r="G471" s="1" t="s">
        <v>311</v>
      </c>
      <c r="H471" s="1" t="s">
        <v>2202</v>
      </c>
      <c r="I471" s="1" t="s">
        <v>1826</v>
      </c>
      <c r="J471" s="1" t="s">
        <v>382</v>
      </c>
      <c r="K471" s="1" t="s">
        <v>294</v>
      </c>
      <c r="L471">
        <v>100000000</v>
      </c>
      <c r="M471">
        <v>103000000</v>
      </c>
      <c r="N471">
        <v>3000000</v>
      </c>
      <c r="O471">
        <v>3</v>
      </c>
      <c r="P471" t="s">
        <v>32</v>
      </c>
    </row>
    <row r="472" spans="1:16" x14ac:dyDescent="0.3">
      <c r="A472" s="1" t="s">
        <v>2203</v>
      </c>
      <c r="B472" s="2">
        <v>42416</v>
      </c>
      <c r="C472">
        <v>2016</v>
      </c>
      <c r="D472" s="1" t="s">
        <v>125</v>
      </c>
      <c r="E472" s="1" t="s">
        <v>2204</v>
      </c>
      <c r="F472" s="1" t="s">
        <v>19</v>
      </c>
      <c r="G472" s="1" t="s">
        <v>545</v>
      </c>
      <c r="H472" s="1" t="s">
        <v>1261</v>
      </c>
      <c r="I472" s="1" t="s">
        <v>466</v>
      </c>
      <c r="J472" s="1" t="s">
        <v>142</v>
      </c>
      <c r="K472" s="1" t="s">
        <v>1049</v>
      </c>
      <c r="L472">
        <v>20000000</v>
      </c>
      <c r="M472">
        <v>23400000</v>
      </c>
      <c r="N472">
        <v>3400000</v>
      </c>
      <c r="O472">
        <v>17</v>
      </c>
      <c r="P472" t="s">
        <v>32</v>
      </c>
    </row>
    <row r="473" spans="1:16" x14ac:dyDescent="0.3">
      <c r="A473" s="1" t="s">
        <v>2205</v>
      </c>
      <c r="B473" s="2">
        <v>41173</v>
      </c>
      <c r="C473">
        <v>2012</v>
      </c>
      <c r="D473" s="1" t="s">
        <v>74</v>
      </c>
      <c r="E473" s="1" t="s">
        <v>2206</v>
      </c>
      <c r="F473" s="1" t="s">
        <v>19</v>
      </c>
      <c r="G473" s="1" t="s">
        <v>187</v>
      </c>
      <c r="H473" s="1" t="s">
        <v>252</v>
      </c>
      <c r="I473" s="1" t="s">
        <v>2207</v>
      </c>
      <c r="J473" s="1" t="s">
        <v>1518</v>
      </c>
      <c r="K473" s="1" t="s">
        <v>21</v>
      </c>
      <c r="L473">
        <v>60000000</v>
      </c>
      <c r="M473">
        <v>49000000</v>
      </c>
      <c r="N473">
        <v>-11000000</v>
      </c>
      <c r="O473">
        <v>-18.329999999999998</v>
      </c>
      <c r="P473" t="s">
        <v>72</v>
      </c>
    </row>
    <row r="474" spans="1:16" x14ac:dyDescent="0.3">
      <c r="A474" s="1" t="s">
        <v>2208</v>
      </c>
      <c r="B474" s="2">
        <v>42259</v>
      </c>
      <c r="C474">
        <v>2015</v>
      </c>
      <c r="D474" s="1" t="s">
        <v>74</v>
      </c>
      <c r="E474" s="1" t="s">
        <v>1753</v>
      </c>
      <c r="F474" s="1" t="s">
        <v>19</v>
      </c>
      <c r="G474" s="1" t="s">
        <v>227</v>
      </c>
      <c r="H474" s="1" t="s">
        <v>253</v>
      </c>
      <c r="I474" s="1" t="s">
        <v>661</v>
      </c>
      <c r="J474" s="1" t="s">
        <v>21</v>
      </c>
      <c r="K474" s="1" t="s">
        <v>1729</v>
      </c>
      <c r="L474">
        <v>15000000</v>
      </c>
      <c r="M474">
        <v>8200000</v>
      </c>
      <c r="N474">
        <v>-6800000</v>
      </c>
      <c r="O474">
        <v>-45.33</v>
      </c>
      <c r="P474" t="s">
        <v>72</v>
      </c>
    </row>
    <row r="475" spans="1:16" x14ac:dyDescent="0.3">
      <c r="A475" s="1" t="s">
        <v>2209</v>
      </c>
      <c r="B475" s="2">
        <v>42259</v>
      </c>
      <c r="C475">
        <v>2015</v>
      </c>
      <c r="D475" s="1" t="s">
        <v>74</v>
      </c>
      <c r="E475" s="1" t="s">
        <v>2210</v>
      </c>
      <c r="F475" s="1" t="s">
        <v>19</v>
      </c>
      <c r="G475" s="1" t="s">
        <v>134</v>
      </c>
      <c r="H475" s="1" t="s">
        <v>329</v>
      </c>
      <c r="I475" s="1" t="s">
        <v>2211</v>
      </c>
      <c r="J475" s="1" t="s">
        <v>196</v>
      </c>
      <c r="K475" s="1" t="s">
        <v>2212</v>
      </c>
      <c r="L475">
        <v>9600000</v>
      </c>
      <c r="M475">
        <v>5400000</v>
      </c>
      <c r="N475">
        <v>-4200000</v>
      </c>
      <c r="O475">
        <v>-43.75</v>
      </c>
      <c r="P475" t="s">
        <v>72</v>
      </c>
    </row>
    <row r="476" spans="1:16" x14ac:dyDescent="0.3">
      <c r="A476" s="1" t="s">
        <v>2213</v>
      </c>
      <c r="B476" s="2">
        <v>41472</v>
      </c>
      <c r="C476">
        <v>2013</v>
      </c>
      <c r="D476" s="1" t="s">
        <v>42</v>
      </c>
      <c r="E476" s="1" t="s">
        <v>2214</v>
      </c>
      <c r="F476" s="1" t="s">
        <v>19</v>
      </c>
      <c r="G476" s="1" t="s">
        <v>504</v>
      </c>
      <c r="H476" s="1" t="s">
        <v>1444</v>
      </c>
      <c r="I476" s="1" t="s">
        <v>223</v>
      </c>
      <c r="J476" s="1" t="s">
        <v>983</v>
      </c>
      <c r="K476" s="1" t="s">
        <v>449</v>
      </c>
      <c r="L476">
        <v>127000000</v>
      </c>
      <c r="M476">
        <v>282600000</v>
      </c>
      <c r="N476">
        <v>155600000</v>
      </c>
      <c r="O476">
        <v>122.52</v>
      </c>
      <c r="P476" t="s">
        <v>40</v>
      </c>
    </row>
    <row r="477" spans="1:16" x14ac:dyDescent="0.3">
      <c r="A477" s="1" t="s">
        <v>2215</v>
      </c>
      <c r="B477" s="2">
        <v>41888</v>
      </c>
      <c r="C477">
        <v>2014</v>
      </c>
      <c r="D477" s="1" t="s">
        <v>138</v>
      </c>
      <c r="E477" s="1" t="s">
        <v>2216</v>
      </c>
      <c r="F477" s="1" t="s">
        <v>19</v>
      </c>
      <c r="G477" s="1" t="s">
        <v>2217</v>
      </c>
      <c r="H477" s="1" t="s">
        <v>2218</v>
      </c>
      <c r="I477" s="1" t="s">
        <v>2219</v>
      </c>
      <c r="J477" s="1" t="s">
        <v>2220</v>
      </c>
      <c r="K477" s="1" t="s">
        <v>311</v>
      </c>
      <c r="L477">
        <v>3000000</v>
      </c>
      <c r="M477">
        <v>1900000</v>
      </c>
      <c r="N477">
        <v>-1100000</v>
      </c>
      <c r="O477">
        <v>-36.67</v>
      </c>
      <c r="P477" t="s">
        <v>72</v>
      </c>
    </row>
    <row r="478" spans="1:16" x14ac:dyDescent="0.3">
      <c r="A478" s="1" t="s">
        <v>2221</v>
      </c>
      <c r="B478" s="2">
        <v>41960</v>
      </c>
      <c r="C478">
        <v>2014</v>
      </c>
      <c r="D478" s="1" t="s">
        <v>74</v>
      </c>
      <c r="E478" s="1" t="s">
        <v>368</v>
      </c>
      <c r="F478" s="1" t="s">
        <v>19</v>
      </c>
      <c r="G478" s="1" t="s">
        <v>68</v>
      </c>
      <c r="H478" s="1" t="s">
        <v>2134</v>
      </c>
      <c r="I478" s="1" t="s">
        <v>353</v>
      </c>
      <c r="J478" s="1" t="s">
        <v>1306</v>
      </c>
      <c r="K478" s="1" t="s">
        <v>83</v>
      </c>
      <c r="L478">
        <v>65000000</v>
      </c>
      <c r="M478">
        <v>163400000</v>
      </c>
      <c r="N478">
        <v>98400000</v>
      </c>
      <c r="O478">
        <v>151.38</v>
      </c>
      <c r="P478" t="s">
        <v>40</v>
      </c>
    </row>
    <row r="479" spans="1:16" x14ac:dyDescent="0.3">
      <c r="A479" s="1" t="s">
        <v>2222</v>
      </c>
      <c r="B479" s="2">
        <v>42069</v>
      </c>
      <c r="C479">
        <v>2015</v>
      </c>
      <c r="D479" s="1" t="s">
        <v>42</v>
      </c>
      <c r="E479" s="1" t="s">
        <v>2223</v>
      </c>
      <c r="F479" s="1" t="s">
        <v>19</v>
      </c>
      <c r="G479" s="1" t="s">
        <v>1895</v>
      </c>
      <c r="H479" s="1" t="s">
        <v>1553</v>
      </c>
      <c r="I479" s="1" t="s">
        <v>1215</v>
      </c>
      <c r="J479" s="1" t="s">
        <v>188</v>
      </c>
      <c r="K479" s="1" t="s">
        <v>1872</v>
      </c>
      <c r="L479">
        <v>35000000</v>
      </c>
      <c r="M479">
        <v>14400000</v>
      </c>
      <c r="N479">
        <v>-20600000</v>
      </c>
      <c r="O479">
        <v>-58.86</v>
      </c>
      <c r="P479" t="s">
        <v>72</v>
      </c>
    </row>
    <row r="480" spans="1:16" x14ac:dyDescent="0.3">
      <c r="A480" s="1" t="s">
        <v>2224</v>
      </c>
      <c r="B480" s="2">
        <v>41840</v>
      </c>
      <c r="C480">
        <v>2014</v>
      </c>
      <c r="D480" s="1" t="s">
        <v>138</v>
      </c>
      <c r="E480" s="1" t="s">
        <v>2225</v>
      </c>
      <c r="F480" s="1" t="s">
        <v>19</v>
      </c>
      <c r="G480" s="1" t="s">
        <v>2226</v>
      </c>
      <c r="H480" s="1" t="s">
        <v>2227</v>
      </c>
      <c r="I480" s="1" t="s">
        <v>2228</v>
      </c>
      <c r="J480" s="1" t="s">
        <v>2229</v>
      </c>
      <c r="K480" s="1" t="s">
        <v>19</v>
      </c>
      <c r="L480">
        <v>1000000</v>
      </c>
      <c r="M480">
        <v>64100000</v>
      </c>
      <c r="N480">
        <v>63100000</v>
      </c>
      <c r="O480">
        <v>6310</v>
      </c>
      <c r="P480" t="s">
        <v>23</v>
      </c>
    </row>
    <row r="481" spans="1:16" x14ac:dyDescent="0.3">
      <c r="A481" s="1" t="s">
        <v>2230</v>
      </c>
      <c r="B481" s="2">
        <v>42214</v>
      </c>
      <c r="C481">
        <v>2015</v>
      </c>
      <c r="D481" s="1" t="s">
        <v>132</v>
      </c>
      <c r="E481" s="1" t="s">
        <v>2231</v>
      </c>
      <c r="F481" s="1" t="s">
        <v>2232</v>
      </c>
      <c r="G481" s="1" t="s">
        <v>570</v>
      </c>
      <c r="H481" s="1" t="s">
        <v>240</v>
      </c>
      <c r="I481" s="1" t="s">
        <v>1480</v>
      </c>
      <c r="J481" s="1" t="s">
        <v>317</v>
      </c>
      <c r="K481" s="1" t="s">
        <v>846</v>
      </c>
      <c r="L481">
        <v>31000000</v>
      </c>
      <c r="M481">
        <v>104900000</v>
      </c>
      <c r="N481">
        <v>73900000</v>
      </c>
      <c r="O481">
        <v>238.39</v>
      </c>
      <c r="P481" t="s">
        <v>40</v>
      </c>
    </row>
    <row r="482" spans="1:16" x14ac:dyDescent="0.3">
      <c r="A482" s="1" t="s">
        <v>2233</v>
      </c>
      <c r="B482" s="2">
        <v>41677</v>
      </c>
      <c r="C482">
        <v>2014</v>
      </c>
      <c r="D482" s="1" t="s">
        <v>25</v>
      </c>
      <c r="E482" s="1" t="s">
        <v>2234</v>
      </c>
      <c r="F482" s="1" t="s">
        <v>19</v>
      </c>
      <c r="G482" s="1" t="s">
        <v>2235</v>
      </c>
      <c r="H482" s="1" t="s">
        <v>1779</v>
      </c>
      <c r="I482" s="1" t="s">
        <v>2236</v>
      </c>
      <c r="J482" s="1" t="s">
        <v>19</v>
      </c>
      <c r="K482" s="1" t="s">
        <v>19</v>
      </c>
      <c r="L482">
        <v>30000000</v>
      </c>
      <c r="M482">
        <v>15400000</v>
      </c>
      <c r="N482">
        <v>-14600000</v>
      </c>
      <c r="O482">
        <v>-48.67</v>
      </c>
      <c r="P482" t="s">
        <v>72</v>
      </c>
    </row>
    <row r="483" spans="1:16" x14ac:dyDescent="0.3">
      <c r="A483" s="1" t="s">
        <v>2237</v>
      </c>
      <c r="B483" s="2">
        <v>41712</v>
      </c>
      <c r="C483">
        <v>2014</v>
      </c>
      <c r="D483" s="1" t="s">
        <v>286</v>
      </c>
      <c r="E483" s="1" t="s">
        <v>2238</v>
      </c>
      <c r="F483" s="1" t="s">
        <v>19</v>
      </c>
      <c r="G483" s="1" t="s">
        <v>241</v>
      </c>
      <c r="H483" s="1" t="s">
        <v>2239</v>
      </c>
      <c r="I483" s="1" t="s">
        <v>306</v>
      </c>
      <c r="J483" s="1" t="s">
        <v>2240</v>
      </c>
      <c r="K483" s="1" t="s">
        <v>2241</v>
      </c>
      <c r="L483">
        <v>6000000</v>
      </c>
      <c r="M483">
        <v>3500000</v>
      </c>
      <c r="N483">
        <v>-2500000</v>
      </c>
      <c r="O483">
        <v>-41.67</v>
      </c>
      <c r="P483" t="s">
        <v>72</v>
      </c>
    </row>
    <row r="484" spans="1:16" x14ac:dyDescent="0.3">
      <c r="A484" s="1" t="s">
        <v>2242</v>
      </c>
      <c r="B484" s="2">
        <v>42333</v>
      </c>
      <c r="C484">
        <v>2015</v>
      </c>
      <c r="D484" s="1" t="s">
        <v>138</v>
      </c>
      <c r="E484" s="1" t="s">
        <v>2243</v>
      </c>
      <c r="F484" s="1" t="s">
        <v>19</v>
      </c>
      <c r="G484" s="1" t="s">
        <v>2156</v>
      </c>
      <c r="H484" s="1" t="s">
        <v>2197</v>
      </c>
      <c r="I484" s="1" t="s">
        <v>2244</v>
      </c>
      <c r="J484" s="1" t="s">
        <v>2245</v>
      </c>
      <c r="K484" s="1" t="s">
        <v>19</v>
      </c>
      <c r="L484">
        <v>40000000</v>
      </c>
      <c r="M484">
        <v>34200000</v>
      </c>
      <c r="N484">
        <v>-5800000</v>
      </c>
      <c r="O484">
        <v>-14.5</v>
      </c>
      <c r="P484" t="s">
        <v>72</v>
      </c>
    </row>
    <row r="485" spans="1:16" x14ac:dyDescent="0.3">
      <c r="A485" s="1" t="s">
        <v>2246</v>
      </c>
      <c r="B485" s="2">
        <v>40963</v>
      </c>
      <c r="C485">
        <v>2012</v>
      </c>
      <c r="D485" s="1" t="s">
        <v>42</v>
      </c>
      <c r="E485" s="1" t="s">
        <v>2247</v>
      </c>
      <c r="F485" s="1" t="s">
        <v>19</v>
      </c>
      <c r="G485" s="1" t="s">
        <v>220</v>
      </c>
      <c r="H485" s="1" t="s">
        <v>848</v>
      </c>
      <c r="I485" s="1" t="s">
        <v>2248</v>
      </c>
      <c r="J485" s="1" t="s">
        <v>2249</v>
      </c>
      <c r="K485" s="1" t="s">
        <v>2250</v>
      </c>
      <c r="L485">
        <v>35000000</v>
      </c>
      <c r="M485">
        <v>24200000</v>
      </c>
      <c r="N485">
        <v>-10800000</v>
      </c>
      <c r="O485">
        <v>-30.86</v>
      </c>
      <c r="P485" t="s">
        <v>72</v>
      </c>
    </row>
    <row r="486" spans="1:16" x14ac:dyDescent="0.3">
      <c r="A486" s="1" t="s">
        <v>2251</v>
      </c>
      <c r="B486" s="2">
        <v>42601</v>
      </c>
      <c r="C486">
        <v>2016</v>
      </c>
      <c r="D486" s="1" t="s">
        <v>125</v>
      </c>
      <c r="E486" s="1" t="s">
        <v>1843</v>
      </c>
      <c r="F486" s="1" t="s">
        <v>19</v>
      </c>
      <c r="G486" s="1" t="s">
        <v>45</v>
      </c>
      <c r="H486" s="1" t="s">
        <v>665</v>
      </c>
      <c r="I486" s="1" t="s">
        <v>805</v>
      </c>
      <c r="J486" s="1" t="s">
        <v>2252</v>
      </c>
      <c r="K486" s="1" t="s">
        <v>19</v>
      </c>
      <c r="L486">
        <v>40000000</v>
      </c>
      <c r="M486">
        <v>42700000</v>
      </c>
      <c r="N486">
        <v>2700000</v>
      </c>
      <c r="O486">
        <v>6.75</v>
      </c>
      <c r="P486" t="s">
        <v>32</v>
      </c>
    </row>
    <row r="487" spans="1:16" x14ac:dyDescent="0.3">
      <c r="A487" s="1" t="s">
        <v>2253</v>
      </c>
      <c r="B487" s="2">
        <v>42244</v>
      </c>
      <c r="C487">
        <v>2015</v>
      </c>
      <c r="D487" s="1" t="s">
        <v>74</v>
      </c>
      <c r="E487" s="1" t="s">
        <v>2254</v>
      </c>
      <c r="F487" s="1" t="s">
        <v>19</v>
      </c>
      <c r="G487" s="1" t="s">
        <v>2254</v>
      </c>
      <c r="H487" s="1" t="s">
        <v>2255</v>
      </c>
      <c r="I487" s="1" t="s">
        <v>2256</v>
      </c>
      <c r="J487" s="1" t="s">
        <v>2257</v>
      </c>
      <c r="K487" s="1" t="s">
        <v>2258</v>
      </c>
      <c r="L487">
        <v>3000000</v>
      </c>
      <c r="M487">
        <v>73700000</v>
      </c>
      <c r="N487">
        <v>70700000</v>
      </c>
      <c r="O487">
        <v>2356.67</v>
      </c>
      <c r="P487" t="s">
        <v>23</v>
      </c>
    </row>
    <row r="488" spans="1:16" x14ac:dyDescent="0.3">
      <c r="A488" s="1" t="s">
        <v>2259</v>
      </c>
      <c r="B488" s="2">
        <v>42531</v>
      </c>
      <c r="C488">
        <v>2016</v>
      </c>
      <c r="D488" s="1" t="s">
        <v>25</v>
      </c>
      <c r="E488" s="1" t="s">
        <v>2260</v>
      </c>
      <c r="F488" s="1" t="s">
        <v>19</v>
      </c>
      <c r="G488" s="1" t="s">
        <v>155</v>
      </c>
      <c r="H488" s="1" t="s">
        <v>2261</v>
      </c>
      <c r="I488" s="1" t="s">
        <v>37</v>
      </c>
      <c r="J488" s="1" t="s">
        <v>295</v>
      </c>
      <c r="K488" s="1" t="s">
        <v>141</v>
      </c>
      <c r="L488">
        <v>160000000</v>
      </c>
      <c r="M488">
        <v>433500000</v>
      </c>
      <c r="N488">
        <v>273500000</v>
      </c>
      <c r="O488">
        <v>170.94</v>
      </c>
      <c r="P488" t="s">
        <v>40</v>
      </c>
    </row>
    <row r="489" spans="1:16" x14ac:dyDescent="0.3">
      <c r="A489" s="1" t="s">
        <v>2262</v>
      </c>
      <c r="B489" s="2">
        <v>41306</v>
      </c>
      <c r="C489">
        <v>2013</v>
      </c>
      <c r="D489" s="1" t="s">
        <v>42</v>
      </c>
      <c r="E489" s="1" t="s">
        <v>1979</v>
      </c>
      <c r="F489" s="1" t="s">
        <v>19</v>
      </c>
      <c r="G489" s="1" t="s">
        <v>1090</v>
      </c>
      <c r="H489" s="1" t="s">
        <v>1049</v>
      </c>
      <c r="I489" s="1" t="s">
        <v>646</v>
      </c>
      <c r="J489" s="1" t="s">
        <v>399</v>
      </c>
      <c r="K489" s="1" t="s">
        <v>2263</v>
      </c>
      <c r="L489">
        <v>35000000</v>
      </c>
      <c r="M489">
        <v>117000000</v>
      </c>
      <c r="N489">
        <v>82000000</v>
      </c>
      <c r="O489">
        <v>234.29</v>
      </c>
      <c r="P489" t="s">
        <v>40</v>
      </c>
    </row>
    <row r="490" spans="1:16" x14ac:dyDescent="0.3">
      <c r="A490" s="1" t="s">
        <v>2264</v>
      </c>
      <c r="B490" s="2">
        <v>41397</v>
      </c>
      <c r="C490">
        <v>2013</v>
      </c>
      <c r="D490" s="1" t="s">
        <v>74</v>
      </c>
      <c r="E490" s="1" t="s">
        <v>2265</v>
      </c>
      <c r="F490" s="1" t="s">
        <v>2266</v>
      </c>
      <c r="G490" s="1" t="s">
        <v>1255</v>
      </c>
      <c r="H490" s="1" t="s">
        <v>2267</v>
      </c>
      <c r="I490" s="1" t="s">
        <v>271</v>
      </c>
      <c r="J490" s="1" t="s">
        <v>2268</v>
      </c>
      <c r="K490" s="1" t="s">
        <v>2269</v>
      </c>
      <c r="L490">
        <v>5000000</v>
      </c>
      <c r="M490">
        <v>2700000</v>
      </c>
      <c r="N490">
        <v>-2300000</v>
      </c>
      <c r="O490">
        <v>-46</v>
      </c>
      <c r="P490" t="s">
        <v>72</v>
      </c>
    </row>
    <row r="491" spans="1:16" x14ac:dyDescent="0.3">
      <c r="A491" s="1" t="s">
        <v>2270</v>
      </c>
      <c r="B491" s="2">
        <v>41047</v>
      </c>
      <c r="C491">
        <v>2012</v>
      </c>
      <c r="D491" s="1" t="s">
        <v>42</v>
      </c>
      <c r="E491" s="1" t="s">
        <v>1203</v>
      </c>
      <c r="F491" s="1" t="s">
        <v>19</v>
      </c>
      <c r="G491" s="1" t="s">
        <v>215</v>
      </c>
      <c r="H491" s="1" t="s">
        <v>838</v>
      </c>
      <c r="I491" s="1" t="s">
        <v>273</v>
      </c>
      <c r="J491" s="1" t="s">
        <v>1111</v>
      </c>
      <c r="K491" s="1" t="s">
        <v>623</v>
      </c>
      <c r="L491">
        <v>40000000</v>
      </c>
      <c r="M491">
        <v>84400000</v>
      </c>
      <c r="N491">
        <v>44400000</v>
      </c>
      <c r="O491">
        <v>111</v>
      </c>
      <c r="P491" t="s">
        <v>40</v>
      </c>
    </row>
    <row r="492" spans="1:16" x14ac:dyDescent="0.3">
      <c r="A492" s="1" t="s">
        <v>2271</v>
      </c>
      <c r="B492" s="2">
        <v>41855</v>
      </c>
      <c r="C492">
        <v>2014</v>
      </c>
      <c r="D492" s="1" t="s">
        <v>751</v>
      </c>
      <c r="E492" s="1" t="s">
        <v>2272</v>
      </c>
      <c r="F492" s="1" t="s">
        <v>19</v>
      </c>
      <c r="G492" s="1" t="s">
        <v>2273</v>
      </c>
      <c r="H492" s="1" t="s">
        <v>2274</v>
      </c>
      <c r="I492" s="1" t="s">
        <v>2275</v>
      </c>
      <c r="J492" s="1" t="s">
        <v>2276</v>
      </c>
      <c r="K492" s="1" t="s">
        <v>19</v>
      </c>
      <c r="L492">
        <v>15000000</v>
      </c>
      <c r="M492">
        <v>30100000</v>
      </c>
      <c r="N492">
        <v>15100000</v>
      </c>
      <c r="O492">
        <v>100.67</v>
      </c>
      <c r="P492" t="s">
        <v>40</v>
      </c>
    </row>
    <row r="493" spans="1:16" x14ac:dyDescent="0.3">
      <c r="A493" s="1" t="s">
        <v>2277</v>
      </c>
      <c r="B493" s="2">
        <v>41655</v>
      </c>
      <c r="C493">
        <v>2014</v>
      </c>
      <c r="D493" s="1" t="s">
        <v>74</v>
      </c>
      <c r="E493" s="1" t="s">
        <v>2278</v>
      </c>
      <c r="F493" s="1" t="s">
        <v>19</v>
      </c>
      <c r="G493" s="1" t="s">
        <v>1674</v>
      </c>
      <c r="H493" s="1" t="s">
        <v>665</v>
      </c>
      <c r="I493" s="1" t="s">
        <v>455</v>
      </c>
      <c r="J493" s="1" t="s">
        <v>2279</v>
      </c>
      <c r="K493" s="1" t="s">
        <v>19</v>
      </c>
      <c r="L493">
        <v>3300000</v>
      </c>
      <c r="M493">
        <v>49000000</v>
      </c>
      <c r="N493">
        <v>45700000</v>
      </c>
      <c r="O493">
        <v>1384.85</v>
      </c>
      <c r="P493" t="s">
        <v>23</v>
      </c>
    </row>
    <row r="494" spans="1:16" x14ac:dyDescent="0.3">
      <c r="A494" s="1" t="s">
        <v>2280</v>
      </c>
      <c r="B494" s="2">
        <v>42433</v>
      </c>
      <c r="C494">
        <v>2016</v>
      </c>
      <c r="D494" s="1" t="s">
        <v>74</v>
      </c>
      <c r="E494" s="1" t="s">
        <v>2281</v>
      </c>
      <c r="F494" s="1" t="s">
        <v>2282</v>
      </c>
      <c r="G494" s="1" t="s">
        <v>1587</v>
      </c>
      <c r="H494" s="1" t="s">
        <v>1648</v>
      </c>
      <c r="I494" s="1" t="s">
        <v>1856</v>
      </c>
      <c r="J494" s="1" t="s">
        <v>1297</v>
      </c>
      <c r="K494" s="1" t="s">
        <v>1437</v>
      </c>
      <c r="L494">
        <v>35000000</v>
      </c>
      <c r="M494">
        <v>24900000</v>
      </c>
      <c r="N494">
        <v>-10100000</v>
      </c>
      <c r="O494">
        <v>-28.86</v>
      </c>
      <c r="P494" t="s">
        <v>72</v>
      </c>
    </row>
    <row r="495" spans="1:16" x14ac:dyDescent="0.3">
      <c r="A495" s="1" t="s">
        <v>2283</v>
      </c>
      <c r="B495" s="2">
        <v>41453</v>
      </c>
      <c r="C495">
        <v>2013</v>
      </c>
      <c r="D495" s="1" t="s">
        <v>25</v>
      </c>
      <c r="E495" s="1" t="s">
        <v>895</v>
      </c>
      <c r="F495" s="1" t="s">
        <v>19</v>
      </c>
      <c r="G495" s="1" t="s">
        <v>46</v>
      </c>
      <c r="H495" s="1" t="s">
        <v>214</v>
      </c>
      <c r="I495" s="1" t="s">
        <v>2284</v>
      </c>
      <c r="J495" s="1" t="s">
        <v>2285</v>
      </c>
      <c r="K495" s="1" t="s">
        <v>933</v>
      </c>
      <c r="L495">
        <v>150000000</v>
      </c>
      <c r="M495">
        <v>205000000</v>
      </c>
      <c r="N495">
        <v>55000000</v>
      </c>
      <c r="O495">
        <v>36.67</v>
      </c>
      <c r="P495" t="s">
        <v>32</v>
      </c>
    </row>
    <row r="496" spans="1:16" x14ac:dyDescent="0.3">
      <c r="A496" s="1" t="s">
        <v>2286</v>
      </c>
      <c r="B496" s="2">
        <v>41880</v>
      </c>
      <c r="C496">
        <v>2014</v>
      </c>
      <c r="D496" s="1" t="s">
        <v>74</v>
      </c>
      <c r="E496" s="1" t="s">
        <v>2287</v>
      </c>
      <c r="F496" s="1" t="s">
        <v>19</v>
      </c>
      <c r="G496" s="1" t="s">
        <v>851</v>
      </c>
      <c r="H496" s="1" t="s">
        <v>2288</v>
      </c>
      <c r="I496" s="1" t="s">
        <v>1694</v>
      </c>
      <c r="J496" s="1" t="s">
        <v>2289</v>
      </c>
      <c r="K496" s="1" t="s">
        <v>19</v>
      </c>
      <c r="L496">
        <v>15000000</v>
      </c>
      <c r="M496">
        <v>52500000</v>
      </c>
      <c r="N496">
        <v>37500000</v>
      </c>
      <c r="O496">
        <v>250</v>
      </c>
      <c r="P496" t="s">
        <v>40</v>
      </c>
    </row>
    <row r="497" spans="1:16" x14ac:dyDescent="0.3">
      <c r="A497" s="1" t="s">
        <v>2290</v>
      </c>
      <c r="B497" s="2">
        <v>41683</v>
      </c>
      <c r="C497">
        <v>2014</v>
      </c>
      <c r="D497" s="1" t="s">
        <v>74</v>
      </c>
      <c r="E497" s="1" t="s">
        <v>2291</v>
      </c>
      <c r="F497" s="1" t="s">
        <v>19</v>
      </c>
      <c r="G497" s="1" t="s">
        <v>499</v>
      </c>
      <c r="H497" s="1" t="s">
        <v>1034</v>
      </c>
      <c r="I497" s="1" t="s">
        <v>2244</v>
      </c>
      <c r="J497" s="1" t="s">
        <v>1250</v>
      </c>
      <c r="K497" s="1" t="s">
        <v>148</v>
      </c>
      <c r="L497">
        <v>60000000</v>
      </c>
      <c r="M497">
        <v>31100000</v>
      </c>
      <c r="N497">
        <v>-28900000</v>
      </c>
      <c r="O497">
        <v>-48.17</v>
      </c>
      <c r="P497" t="s">
        <v>72</v>
      </c>
    </row>
    <row r="498" spans="1:16" x14ac:dyDescent="0.3">
      <c r="A498" s="1" t="s">
        <v>2292</v>
      </c>
      <c r="B498" s="2">
        <v>41657</v>
      </c>
      <c r="C498">
        <v>2014</v>
      </c>
      <c r="D498" s="1" t="s">
        <v>74</v>
      </c>
      <c r="E498" s="1" t="s">
        <v>2293</v>
      </c>
      <c r="F498" s="1" t="s">
        <v>19</v>
      </c>
      <c r="G498" s="1" t="s">
        <v>2293</v>
      </c>
      <c r="H498" s="1" t="s">
        <v>1185</v>
      </c>
      <c r="I498" s="1" t="s">
        <v>837</v>
      </c>
      <c r="J498" s="1" t="s">
        <v>2294</v>
      </c>
      <c r="K498" s="1" t="s">
        <v>2295</v>
      </c>
      <c r="L498">
        <v>6000000</v>
      </c>
      <c r="M498">
        <v>5500000</v>
      </c>
      <c r="N498">
        <v>-500000</v>
      </c>
      <c r="O498">
        <v>-8.33</v>
      </c>
      <c r="P498" t="s">
        <v>72</v>
      </c>
    </row>
    <row r="499" spans="1:16" x14ac:dyDescent="0.3">
      <c r="A499" s="1" t="s">
        <v>2296</v>
      </c>
      <c r="B499" s="2">
        <v>42095</v>
      </c>
      <c r="C499">
        <v>2015</v>
      </c>
      <c r="D499" s="1" t="s">
        <v>74</v>
      </c>
      <c r="E499" s="1" t="s">
        <v>2297</v>
      </c>
      <c r="F499" s="1" t="s">
        <v>19</v>
      </c>
      <c r="G499" s="1" t="s">
        <v>661</v>
      </c>
      <c r="H499" s="1" t="s">
        <v>504</v>
      </c>
      <c r="I499" s="1" t="s">
        <v>366</v>
      </c>
      <c r="J499" s="1" t="s">
        <v>1829</v>
      </c>
      <c r="K499" s="1" t="s">
        <v>2298</v>
      </c>
      <c r="L499">
        <v>11000000</v>
      </c>
      <c r="M499">
        <v>61600000</v>
      </c>
      <c r="N499">
        <v>50600000</v>
      </c>
      <c r="O499">
        <v>460</v>
      </c>
      <c r="P499" t="s">
        <v>23</v>
      </c>
    </row>
    <row r="500" spans="1:16" x14ac:dyDescent="0.3">
      <c r="A500" s="1" t="s">
        <v>2299</v>
      </c>
      <c r="B500" s="2">
        <v>41180</v>
      </c>
      <c r="C500">
        <v>2012</v>
      </c>
      <c r="D500" s="1" t="s">
        <v>74</v>
      </c>
      <c r="E500" s="1" t="s">
        <v>2300</v>
      </c>
      <c r="F500" s="1" t="s">
        <v>19</v>
      </c>
      <c r="G500" s="1" t="s">
        <v>281</v>
      </c>
      <c r="H500" s="1" t="s">
        <v>2284</v>
      </c>
      <c r="I500" s="1" t="s">
        <v>2301</v>
      </c>
      <c r="J500" s="1" t="s">
        <v>1159</v>
      </c>
      <c r="K500" s="1" t="s">
        <v>2302</v>
      </c>
      <c r="L500">
        <v>19000000</v>
      </c>
      <c r="M500">
        <v>5400000</v>
      </c>
      <c r="N500">
        <v>-13600000</v>
      </c>
      <c r="O500">
        <v>-71.58</v>
      </c>
      <c r="P500" t="s">
        <v>72</v>
      </c>
    </row>
    <row r="501" spans="1:16" x14ac:dyDescent="0.3">
      <c r="A501" s="1" t="s">
        <v>2303</v>
      </c>
      <c r="B501" s="2">
        <v>42293</v>
      </c>
      <c r="C501">
        <v>2015</v>
      </c>
      <c r="D501" s="1" t="s">
        <v>74</v>
      </c>
      <c r="E501" s="1" t="s">
        <v>2304</v>
      </c>
      <c r="F501" s="1" t="s">
        <v>19</v>
      </c>
      <c r="G501" s="1" t="s">
        <v>1164</v>
      </c>
      <c r="H501" s="1" t="s">
        <v>2305</v>
      </c>
      <c r="I501" s="1" t="s">
        <v>2306</v>
      </c>
      <c r="J501" s="1" t="s">
        <v>1287</v>
      </c>
      <c r="K501" s="1" t="s">
        <v>735</v>
      </c>
      <c r="L501">
        <v>13000000</v>
      </c>
      <c r="M501">
        <v>14400000</v>
      </c>
      <c r="N501">
        <v>1400000</v>
      </c>
      <c r="O501">
        <v>10.77</v>
      </c>
      <c r="P501" t="s">
        <v>32</v>
      </c>
    </row>
    <row r="502" spans="1:16" x14ac:dyDescent="0.3">
      <c r="A502" s="1" t="s">
        <v>2307</v>
      </c>
      <c r="B502" s="2">
        <v>41446</v>
      </c>
      <c r="C502">
        <v>2013</v>
      </c>
      <c r="D502" s="1" t="s">
        <v>25</v>
      </c>
      <c r="E502" s="1" t="s">
        <v>2308</v>
      </c>
      <c r="F502" s="1" t="s">
        <v>19</v>
      </c>
      <c r="G502" s="1" t="s">
        <v>369</v>
      </c>
      <c r="H502" s="1" t="s">
        <v>886</v>
      </c>
      <c r="I502" s="1" t="s">
        <v>27</v>
      </c>
      <c r="J502" s="1" t="s">
        <v>2309</v>
      </c>
      <c r="K502" s="1" t="s">
        <v>161</v>
      </c>
      <c r="L502">
        <v>190000000</v>
      </c>
      <c r="M502">
        <v>540000000</v>
      </c>
      <c r="N502">
        <v>350000000</v>
      </c>
      <c r="O502">
        <v>184.21</v>
      </c>
      <c r="P502" t="s">
        <v>40</v>
      </c>
    </row>
    <row r="503" spans="1:16" x14ac:dyDescent="0.3">
      <c r="A503" s="1" t="s">
        <v>2310</v>
      </c>
      <c r="B503" s="2">
        <v>40998</v>
      </c>
      <c r="C503">
        <v>2012</v>
      </c>
      <c r="D503" s="1" t="s">
        <v>25</v>
      </c>
      <c r="E503" s="1" t="s">
        <v>1661</v>
      </c>
      <c r="F503" s="1" t="s">
        <v>19</v>
      </c>
      <c r="G503" s="1" t="s">
        <v>1109</v>
      </c>
      <c r="H503" s="1" t="s">
        <v>127</v>
      </c>
      <c r="I503" s="1" t="s">
        <v>799</v>
      </c>
      <c r="J503" s="1" t="s">
        <v>1372</v>
      </c>
      <c r="K503" s="1" t="s">
        <v>776</v>
      </c>
      <c r="L503">
        <v>150000000</v>
      </c>
      <c r="M503">
        <v>305300000</v>
      </c>
      <c r="N503">
        <v>155300000</v>
      </c>
      <c r="O503">
        <v>103.53</v>
      </c>
      <c r="P503" t="s">
        <v>40</v>
      </c>
    </row>
    <row r="504" spans="1:16" x14ac:dyDescent="0.3">
      <c r="A504" s="1" t="s">
        <v>2311</v>
      </c>
      <c r="B504" s="2">
        <v>42499</v>
      </c>
      <c r="C504">
        <v>2016</v>
      </c>
      <c r="D504" s="1" t="s">
        <v>25</v>
      </c>
      <c r="E504" s="1" t="s">
        <v>2312</v>
      </c>
      <c r="F504" s="1" t="s">
        <v>19</v>
      </c>
      <c r="G504" s="1" t="s">
        <v>2197</v>
      </c>
      <c r="H504" s="1" t="s">
        <v>1418</v>
      </c>
      <c r="I504" s="1" t="s">
        <v>986</v>
      </c>
      <c r="J504" s="1" t="s">
        <v>105</v>
      </c>
      <c r="K504" s="1" t="s">
        <v>1090</v>
      </c>
      <c r="L504">
        <v>178000000</v>
      </c>
      <c r="M504">
        <v>544600000</v>
      </c>
      <c r="N504">
        <v>366600000</v>
      </c>
      <c r="O504">
        <v>205.96</v>
      </c>
      <c r="P504" t="s">
        <v>40</v>
      </c>
    </row>
    <row r="505" spans="1:16" x14ac:dyDescent="0.3">
      <c r="A505" s="1" t="s">
        <v>2313</v>
      </c>
      <c r="B505" s="2">
        <v>41769</v>
      </c>
      <c r="C505">
        <v>2014</v>
      </c>
      <c r="D505" s="1" t="s">
        <v>25</v>
      </c>
      <c r="E505" s="1" t="s">
        <v>2312</v>
      </c>
      <c r="F505" s="1" t="s">
        <v>19</v>
      </c>
      <c r="G505" s="1" t="s">
        <v>406</v>
      </c>
      <c r="H505" s="1" t="s">
        <v>2197</v>
      </c>
      <c r="I505" s="1" t="s">
        <v>1418</v>
      </c>
      <c r="J505" s="1" t="s">
        <v>1748</v>
      </c>
      <c r="K505" s="1" t="s">
        <v>986</v>
      </c>
      <c r="L505">
        <v>200000000</v>
      </c>
      <c r="M505">
        <v>747900000</v>
      </c>
      <c r="N505">
        <v>547900000</v>
      </c>
      <c r="O505">
        <v>273.95</v>
      </c>
      <c r="P505" t="s">
        <v>40</v>
      </c>
    </row>
    <row r="506" spans="1:16" x14ac:dyDescent="0.3">
      <c r="A506" s="1" t="s">
        <v>2314</v>
      </c>
      <c r="B506" s="2">
        <v>41509</v>
      </c>
      <c r="C506">
        <v>2013</v>
      </c>
      <c r="D506" s="1" t="s">
        <v>138</v>
      </c>
      <c r="E506" s="1" t="s">
        <v>2315</v>
      </c>
      <c r="F506" s="1" t="s">
        <v>19</v>
      </c>
      <c r="G506" s="1" t="s">
        <v>2316</v>
      </c>
      <c r="H506" s="1" t="s">
        <v>2317</v>
      </c>
      <c r="I506" s="1" t="s">
        <v>2318</v>
      </c>
      <c r="J506" s="1" t="s">
        <v>2319</v>
      </c>
      <c r="K506" s="1" t="s">
        <v>2320</v>
      </c>
      <c r="L506">
        <v>1000000</v>
      </c>
      <c r="M506">
        <v>26800000</v>
      </c>
      <c r="N506">
        <v>25800000</v>
      </c>
      <c r="O506">
        <v>2580</v>
      </c>
      <c r="P506" t="s">
        <v>23</v>
      </c>
    </row>
    <row r="507" spans="1:16" x14ac:dyDescent="0.3">
      <c r="A507" s="1" t="s">
        <v>2321</v>
      </c>
      <c r="B507" s="2">
        <v>41262</v>
      </c>
      <c r="C507">
        <v>2012</v>
      </c>
      <c r="D507" s="1" t="s">
        <v>74</v>
      </c>
      <c r="E507" s="1" t="s">
        <v>2322</v>
      </c>
      <c r="F507" s="1" t="s">
        <v>19</v>
      </c>
      <c r="G507" s="1" t="s">
        <v>106</v>
      </c>
      <c r="H507" s="1" t="s">
        <v>1819</v>
      </c>
      <c r="I507" s="1" t="s">
        <v>312</v>
      </c>
      <c r="J507" s="1" t="s">
        <v>389</v>
      </c>
      <c r="K507" s="1" t="s">
        <v>431</v>
      </c>
      <c r="L507">
        <v>40000000</v>
      </c>
      <c r="M507">
        <v>132800000</v>
      </c>
      <c r="N507">
        <v>92800000</v>
      </c>
      <c r="O507">
        <v>232</v>
      </c>
      <c r="P507" t="s">
        <v>40</v>
      </c>
    </row>
    <row r="508" spans="1:16" x14ac:dyDescent="0.3">
      <c r="A508" s="1" t="s">
        <v>2323</v>
      </c>
      <c r="B508" s="2">
        <v>42054</v>
      </c>
      <c r="C508">
        <v>2015</v>
      </c>
      <c r="D508" s="1" t="s">
        <v>166</v>
      </c>
      <c r="E508" s="1" t="s">
        <v>2324</v>
      </c>
      <c r="F508" s="1" t="s">
        <v>19</v>
      </c>
      <c r="G508" s="1" t="s">
        <v>2325</v>
      </c>
      <c r="H508" s="1" t="s">
        <v>2326</v>
      </c>
      <c r="I508" s="1" t="s">
        <v>2327</v>
      </c>
      <c r="J508" s="1" t="s">
        <v>2328</v>
      </c>
      <c r="K508" s="1" t="s">
        <v>2329</v>
      </c>
      <c r="L508">
        <v>30000000</v>
      </c>
      <c r="M508">
        <v>64470000</v>
      </c>
      <c r="N508">
        <v>34470000</v>
      </c>
      <c r="O508">
        <v>114.9</v>
      </c>
      <c r="P508" t="s">
        <v>40</v>
      </c>
    </row>
    <row r="509" spans="1:16" x14ac:dyDescent="0.3">
      <c r="A509" s="1" t="s">
        <v>2330</v>
      </c>
      <c r="B509" s="2">
        <v>42412</v>
      </c>
      <c r="C509">
        <v>2016</v>
      </c>
      <c r="D509" s="1" t="s">
        <v>42</v>
      </c>
      <c r="E509" s="1" t="s">
        <v>1226</v>
      </c>
      <c r="F509" s="1" t="s">
        <v>19</v>
      </c>
      <c r="G509" s="1" t="s">
        <v>1226</v>
      </c>
      <c r="H509" s="1" t="s">
        <v>1228</v>
      </c>
      <c r="I509" s="1" t="s">
        <v>2331</v>
      </c>
      <c r="J509" s="1" t="s">
        <v>476</v>
      </c>
      <c r="K509" s="1" t="s">
        <v>2332</v>
      </c>
      <c r="L509">
        <v>50000000</v>
      </c>
      <c r="M509">
        <v>56000000</v>
      </c>
      <c r="N509">
        <v>6000000</v>
      </c>
      <c r="O509">
        <v>12</v>
      </c>
      <c r="P509" t="s">
        <v>32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72943-4478-4D71-8BE0-CC44CED90BED}">
  <dimension ref="A2:H224"/>
  <sheetViews>
    <sheetView workbookViewId="0">
      <selection activeCell="E18" sqref="E18:F22"/>
    </sheetView>
  </sheetViews>
  <sheetFormatPr defaultRowHeight="14.4" x14ac:dyDescent="0.3"/>
  <cols>
    <col min="1" max="1" width="14.44140625" bestFit="1" customWidth="1"/>
    <col min="2" max="2" width="14.109375" bestFit="1" customWidth="1"/>
    <col min="3" max="3" width="9.44140625" bestFit="1" customWidth="1"/>
    <col min="4" max="4" width="9.5546875" bestFit="1" customWidth="1"/>
    <col min="5" max="5" width="12.44140625" bestFit="1" customWidth="1"/>
    <col min="6" max="6" width="12" bestFit="1" customWidth="1"/>
    <col min="7" max="7" width="15.33203125" bestFit="1" customWidth="1"/>
    <col min="8" max="8" width="14.44140625" bestFit="1" customWidth="1"/>
    <col min="9" max="9" width="6.5546875" bestFit="1" customWidth="1"/>
    <col min="10" max="10" width="6.6640625" bestFit="1" customWidth="1"/>
    <col min="11" max="11" width="7.44140625" bestFit="1" customWidth="1"/>
    <col min="12" max="12" width="6.33203125" bestFit="1" customWidth="1"/>
    <col min="13" max="14" width="7.44140625" bestFit="1" customWidth="1"/>
    <col min="15" max="15" width="8.5546875" bestFit="1" customWidth="1"/>
    <col min="16" max="16" width="8.77734375" bestFit="1" customWidth="1"/>
    <col min="17" max="17" width="5.88671875" bestFit="1" customWidth="1"/>
    <col min="18" max="18" width="6.88671875" bestFit="1" customWidth="1"/>
    <col min="19" max="22" width="6.6640625" bestFit="1" customWidth="1"/>
    <col min="23" max="24" width="3.6640625" bestFit="1" customWidth="1"/>
    <col min="25" max="26" width="6.6640625" bestFit="1" customWidth="1"/>
    <col min="27" max="27" width="5.6640625" bestFit="1" customWidth="1"/>
    <col min="28" max="31" width="6.6640625" bestFit="1" customWidth="1"/>
    <col min="32" max="34" width="5.6640625" bestFit="1" customWidth="1"/>
    <col min="35" max="36" width="3.6640625" bestFit="1" customWidth="1"/>
    <col min="37" max="37" width="5.6640625" bestFit="1" customWidth="1"/>
    <col min="38" max="38" width="6" bestFit="1" customWidth="1"/>
    <col min="39" max="41" width="6.6640625" bestFit="1" customWidth="1"/>
    <col min="42" max="42" width="3.6640625" bestFit="1" customWidth="1"/>
    <col min="43" max="43" width="6.6640625" bestFit="1" customWidth="1"/>
    <col min="44" max="44" width="3.6640625" bestFit="1" customWidth="1"/>
    <col min="45" max="47" width="6.6640625" bestFit="1" customWidth="1"/>
    <col min="48" max="48" width="3.6640625" bestFit="1" customWidth="1"/>
    <col min="49" max="50" width="6.6640625" bestFit="1" customWidth="1"/>
    <col min="51" max="51" width="5.6640625" bestFit="1" customWidth="1"/>
    <col min="52" max="54" width="6.6640625" bestFit="1" customWidth="1"/>
    <col min="55" max="55" width="3.6640625" bestFit="1" customWidth="1"/>
    <col min="56" max="57" width="6.6640625" bestFit="1" customWidth="1"/>
    <col min="58" max="58" width="3.6640625" bestFit="1" customWidth="1"/>
    <col min="59" max="61" width="6.6640625" bestFit="1" customWidth="1"/>
    <col min="62" max="62" width="3.6640625" bestFit="1" customWidth="1"/>
    <col min="63" max="63" width="5.6640625" bestFit="1" customWidth="1"/>
    <col min="64" max="64" width="6.6640625" bestFit="1" customWidth="1"/>
    <col min="65" max="65" width="5.6640625" bestFit="1" customWidth="1"/>
    <col min="66" max="68" width="6.6640625" bestFit="1" customWidth="1"/>
    <col min="69" max="69" width="3.6640625" bestFit="1" customWidth="1"/>
    <col min="70" max="73" width="5.6640625" bestFit="1" customWidth="1"/>
    <col min="74" max="74" width="6.6640625" bestFit="1" customWidth="1"/>
    <col min="75" max="76" width="5.6640625" bestFit="1" customWidth="1"/>
    <col min="77" max="80" width="6.6640625" bestFit="1" customWidth="1"/>
    <col min="81" max="81" width="3.6640625" bestFit="1" customWidth="1"/>
    <col min="82" max="83" width="5.6640625" bestFit="1" customWidth="1"/>
    <col min="84" max="84" width="4.6640625" bestFit="1" customWidth="1"/>
    <col min="85" max="85" width="5.6640625" bestFit="1" customWidth="1"/>
    <col min="86" max="86" width="2.6640625" bestFit="1" customWidth="1"/>
    <col min="87" max="89" width="5.6640625" bestFit="1" customWidth="1"/>
    <col min="90" max="90" width="2" bestFit="1" customWidth="1"/>
    <col min="91" max="92" width="5" bestFit="1" customWidth="1"/>
    <col min="93" max="93" width="4" bestFit="1" customWidth="1"/>
    <col min="94" max="94" width="5" bestFit="1" customWidth="1"/>
    <col min="95" max="95" width="2" bestFit="1" customWidth="1"/>
    <col min="96" max="99" width="5" bestFit="1" customWidth="1"/>
    <col min="100" max="100" width="2" bestFit="1" customWidth="1"/>
    <col min="101" max="101" width="3" bestFit="1" customWidth="1"/>
    <col min="102" max="104" width="6" bestFit="1" customWidth="1"/>
    <col min="105" max="105" width="3" bestFit="1" customWidth="1"/>
    <col min="106" max="110" width="6" bestFit="1" customWidth="1"/>
    <col min="111" max="111" width="5" bestFit="1" customWidth="1"/>
    <col min="112" max="112" width="6" bestFit="1" customWidth="1"/>
    <col min="113" max="113" width="3" bestFit="1" customWidth="1"/>
    <col min="114" max="114" width="6" bestFit="1" customWidth="1"/>
    <col min="115" max="115" width="3" bestFit="1" customWidth="1"/>
    <col min="116" max="116" width="6" bestFit="1" customWidth="1"/>
    <col min="117" max="117" width="5" bestFit="1" customWidth="1"/>
    <col min="118" max="118" width="3" bestFit="1" customWidth="1"/>
    <col min="119" max="123" width="6" bestFit="1" customWidth="1"/>
    <col min="124" max="124" width="3" bestFit="1" customWidth="1"/>
    <col min="125" max="127" width="6" bestFit="1" customWidth="1"/>
    <col min="128" max="128" width="3" bestFit="1" customWidth="1"/>
    <col min="129" max="129" width="6" bestFit="1" customWidth="1"/>
    <col min="130" max="130" width="3" bestFit="1" customWidth="1"/>
    <col min="131" max="132" width="6" bestFit="1" customWidth="1"/>
    <col min="133" max="133" width="5" bestFit="1" customWidth="1"/>
    <col min="134" max="137" width="6" bestFit="1" customWidth="1"/>
    <col min="138" max="138" width="3" bestFit="1" customWidth="1"/>
    <col min="139" max="140" width="6" bestFit="1" customWidth="1"/>
    <col min="141" max="142" width="3" bestFit="1" customWidth="1"/>
    <col min="143" max="143" width="6" bestFit="1" customWidth="1"/>
    <col min="144" max="144" width="5" bestFit="1" customWidth="1"/>
    <col min="145" max="145" width="3" bestFit="1" customWidth="1"/>
    <col min="146" max="147" width="6" bestFit="1" customWidth="1"/>
    <col min="148" max="148" width="3" bestFit="1" customWidth="1"/>
    <col min="149" max="152" width="6" bestFit="1" customWidth="1"/>
    <col min="153" max="154" width="5" bestFit="1" customWidth="1"/>
    <col min="155" max="155" width="6" bestFit="1" customWidth="1"/>
    <col min="156" max="156" width="5" bestFit="1" customWidth="1"/>
    <col min="157" max="157" width="6" bestFit="1" customWidth="1"/>
    <col min="158" max="158" width="5" bestFit="1" customWidth="1"/>
    <col min="159" max="159" width="6" bestFit="1" customWidth="1"/>
    <col min="160" max="160" width="5" bestFit="1" customWidth="1"/>
    <col min="161" max="165" width="6" bestFit="1" customWidth="1"/>
    <col min="166" max="166" width="3" bestFit="1" customWidth="1"/>
    <col min="167" max="168" width="6" bestFit="1" customWidth="1"/>
    <col min="169" max="169" width="5" bestFit="1" customWidth="1"/>
    <col min="170" max="170" width="6" bestFit="1" customWidth="1"/>
    <col min="171" max="171" width="5" bestFit="1" customWidth="1"/>
    <col min="172" max="176" width="6" bestFit="1" customWidth="1"/>
    <col min="177" max="177" width="3" bestFit="1" customWidth="1"/>
    <col min="178" max="178" width="5" bestFit="1" customWidth="1"/>
    <col min="179" max="179" width="4" bestFit="1" customWidth="1"/>
    <col min="180" max="184" width="7" bestFit="1" customWidth="1"/>
    <col min="185" max="185" width="4" bestFit="1" customWidth="1"/>
    <col min="186" max="189" width="7" bestFit="1" customWidth="1"/>
    <col min="190" max="190" width="6" bestFit="1" customWidth="1"/>
    <col min="191" max="192" width="4" bestFit="1" customWidth="1"/>
    <col min="193" max="193" width="7" bestFit="1" customWidth="1"/>
    <col min="194" max="194" width="6" bestFit="1" customWidth="1"/>
    <col min="195" max="197" width="7" bestFit="1" customWidth="1"/>
    <col min="198" max="198" width="6" bestFit="1" customWidth="1"/>
    <col min="199" max="199" width="4" bestFit="1" customWidth="1"/>
    <col min="200" max="210" width="7" bestFit="1" customWidth="1"/>
    <col min="211" max="211" width="4" bestFit="1" customWidth="1"/>
    <col min="212" max="213" width="6" bestFit="1" customWidth="1"/>
    <col min="214" max="214" width="4" bestFit="1" customWidth="1"/>
    <col min="215" max="217" width="7" bestFit="1" customWidth="1"/>
    <col min="218" max="218" width="4" bestFit="1" customWidth="1"/>
    <col min="219" max="219" width="7" bestFit="1" customWidth="1"/>
    <col min="220" max="220" width="4" bestFit="1" customWidth="1"/>
    <col min="221" max="221" width="6" bestFit="1" customWidth="1"/>
    <col min="222" max="225" width="7" bestFit="1" customWidth="1"/>
    <col min="226" max="226" width="6" bestFit="1" customWidth="1"/>
    <col min="227" max="228" width="7" bestFit="1" customWidth="1"/>
    <col min="229" max="229" width="4" bestFit="1" customWidth="1"/>
    <col min="230" max="241" width="7" bestFit="1" customWidth="1"/>
    <col min="242" max="243" width="6" bestFit="1" customWidth="1"/>
    <col min="244" max="244" width="7" bestFit="1" customWidth="1"/>
    <col min="245" max="246" width="4" bestFit="1" customWidth="1"/>
    <col min="247" max="249" width="7" bestFit="1" customWidth="1"/>
    <col min="250" max="250" width="6" bestFit="1" customWidth="1"/>
    <col min="251" max="251" width="7" bestFit="1" customWidth="1"/>
    <col min="252" max="253" width="4" bestFit="1" customWidth="1"/>
    <col min="254" max="255" width="7" bestFit="1" customWidth="1"/>
    <col min="256" max="256" width="6" bestFit="1" customWidth="1"/>
    <col min="257" max="258" width="7" bestFit="1" customWidth="1"/>
    <col min="259" max="259" width="4" bestFit="1" customWidth="1"/>
    <col min="260" max="264" width="7" bestFit="1" customWidth="1"/>
    <col min="265" max="265" width="6" bestFit="1" customWidth="1"/>
    <col min="266" max="266" width="4" bestFit="1" customWidth="1"/>
    <col min="267" max="269" width="7" bestFit="1" customWidth="1"/>
    <col min="270" max="270" width="6" bestFit="1" customWidth="1"/>
    <col min="271" max="271" width="4" bestFit="1" customWidth="1"/>
    <col min="272" max="273" width="7" bestFit="1" customWidth="1"/>
    <col min="274" max="275" width="4" bestFit="1" customWidth="1"/>
    <col min="276" max="277" width="7" bestFit="1" customWidth="1"/>
    <col min="278" max="278" width="6" bestFit="1" customWidth="1"/>
    <col min="279" max="284" width="7" bestFit="1" customWidth="1"/>
    <col min="285" max="285" width="6" bestFit="1" customWidth="1"/>
    <col min="286" max="287" width="7" bestFit="1" customWidth="1"/>
    <col min="288" max="288" width="6" bestFit="1" customWidth="1"/>
    <col min="289" max="294" width="7" bestFit="1" customWidth="1"/>
    <col min="295" max="295" width="4" bestFit="1" customWidth="1"/>
    <col min="296" max="296" width="6" bestFit="1" customWidth="1"/>
    <col min="297" max="297" width="4" bestFit="1" customWidth="1"/>
    <col min="298" max="301" width="7" bestFit="1" customWidth="1"/>
    <col min="302" max="302" width="6" bestFit="1" customWidth="1"/>
    <col min="303" max="303" width="7" bestFit="1" customWidth="1"/>
    <col min="304" max="305" width="4" bestFit="1" customWidth="1"/>
    <col min="306" max="306" width="7" bestFit="1" customWidth="1"/>
    <col min="307" max="307" width="4" bestFit="1" customWidth="1"/>
    <col min="308" max="308" width="7" bestFit="1" customWidth="1"/>
    <col min="309" max="309" width="6" bestFit="1" customWidth="1"/>
    <col min="310" max="318" width="7" bestFit="1" customWidth="1"/>
    <col min="319" max="319" width="4" bestFit="1" customWidth="1"/>
    <col min="320" max="331" width="7" bestFit="1" customWidth="1"/>
    <col min="332" max="332" width="4" bestFit="1" customWidth="1"/>
    <col min="333" max="334" width="7" bestFit="1" customWidth="1"/>
    <col min="335" max="335" width="4" bestFit="1" customWidth="1"/>
    <col min="336" max="336" width="6" bestFit="1" customWidth="1"/>
    <col min="337" max="337" width="7" bestFit="1" customWidth="1"/>
    <col min="338" max="338" width="4" bestFit="1" customWidth="1"/>
    <col min="339" max="342" width="7" bestFit="1" customWidth="1"/>
    <col min="343" max="343" width="6" bestFit="1" customWidth="1"/>
    <col min="344" max="345" width="7" bestFit="1" customWidth="1"/>
    <col min="346" max="346" width="6" bestFit="1" customWidth="1"/>
    <col min="347" max="349" width="7" bestFit="1" customWidth="1"/>
    <col min="350" max="350" width="4" bestFit="1" customWidth="1"/>
    <col min="351" max="358" width="7" bestFit="1" customWidth="1"/>
    <col min="359" max="359" width="4" bestFit="1" customWidth="1"/>
    <col min="360" max="360" width="6" bestFit="1" customWidth="1"/>
    <col min="361" max="361" width="7" bestFit="1" customWidth="1"/>
    <col min="362" max="362" width="6" bestFit="1" customWidth="1"/>
    <col min="363" max="363" width="7" bestFit="1" customWidth="1"/>
    <col min="364" max="364" width="4" bestFit="1" customWidth="1"/>
    <col min="365" max="365" width="7" bestFit="1" customWidth="1"/>
    <col min="366" max="366" width="4" bestFit="1" customWidth="1"/>
    <col min="367" max="367" width="7" bestFit="1" customWidth="1"/>
    <col min="368" max="368" width="4" bestFit="1" customWidth="1"/>
    <col min="369" max="371" width="7" bestFit="1" customWidth="1"/>
    <col min="372" max="372" width="6" bestFit="1" customWidth="1"/>
    <col min="373" max="373" width="7" bestFit="1" customWidth="1"/>
    <col min="374" max="374" width="6" bestFit="1" customWidth="1"/>
    <col min="375" max="375" width="4" bestFit="1" customWidth="1"/>
    <col min="376" max="376" width="6" bestFit="1" customWidth="1"/>
    <col min="377" max="378" width="7" bestFit="1" customWidth="1"/>
    <col min="379" max="379" width="4" bestFit="1" customWidth="1"/>
    <col min="380" max="381" width="7" bestFit="1" customWidth="1"/>
    <col min="382" max="382" width="6" bestFit="1" customWidth="1"/>
    <col min="383" max="388" width="7" bestFit="1" customWidth="1"/>
    <col min="389" max="389" width="6" bestFit="1" customWidth="1"/>
    <col min="390" max="390" width="7" bestFit="1" customWidth="1"/>
    <col min="391" max="391" width="6" bestFit="1" customWidth="1"/>
    <col min="392" max="393" width="7" bestFit="1" customWidth="1"/>
    <col min="394" max="394" width="6" bestFit="1" customWidth="1"/>
    <col min="395" max="398" width="7" bestFit="1" customWidth="1"/>
    <col min="399" max="399" width="4" bestFit="1" customWidth="1"/>
    <col min="400" max="402" width="7" bestFit="1" customWidth="1"/>
    <col min="403" max="403" width="4" bestFit="1" customWidth="1"/>
    <col min="404" max="413" width="7" bestFit="1" customWidth="1"/>
    <col min="414" max="414" width="4" bestFit="1" customWidth="1"/>
    <col min="415" max="416" width="7" bestFit="1" customWidth="1"/>
    <col min="417" max="418" width="4" bestFit="1" customWidth="1"/>
    <col min="419" max="419" width="7" bestFit="1" customWidth="1"/>
    <col min="420" max="420" width="4" bestFit="1" customWidth="1"/>
    <col min="421" max="422" width="7" bestFit="1" customWidth="1"/>
    <col min="423" max="423" width="4" bestFit="1" customWidth="1"/>
    <col min="424" max="425" width="7" bestFit="1" customWidth="1"/>
    <col min="426" max="426" width="4" bestFit="1" customWidth="1"/>
    <col min="427" max="427" width="7" bestFit="1" customWidth="1"/>
    <col min="428" max="428" width="6" bestFit="1" customWidth="1"/>
    <col min="429" max="430" width="7" bestFit="1" customWidth="1"/>
    <col min="431" max="431" width="4" bestFit="1" customWidth="1"/>
    <col min="432" max="432" width="7" bestFit="1" customWidth="1"/>
    <col min="433" max="433" width="4" bestFit="1" customWidth="1"/>
    <col min="434" max="434" width="7" bestFit="1" customWidth="1"/>
    <col min="435" max="436" width="4" bestFit="1" customWidth="1"/>
    <col min="437" max="437" width="6" bestFit="1" customWidth="1"/>
    <col min="438" max="445" width="7" bestFit="1" customWidth="1"/>
    <col min="446" max="446" width="4" bestFit="1" customWidth="1"/>
    <col min="447" max="452" width="7" bestFit="1" customWidth="1"/>
    <col min="453" max="455" width="4" bestFit="1" customWidth="1"/>
    <col min="456" max="457" width="7" bestFit="1" customWidth="1"/>
    <col min="458" max="459" width="4" bestFit="1" customWidth="1"/>
    <col min="460" max="460" width="7" bestFit="1" customWidth="1"/>
    <col min="461" max="461" width="4" bestFit="1" customWidth="1"/>
    <col min="462" max="462" width="7" bestFit="1" customWidth="1"/>
    <col min="463" max="463" width="8" bestFit="1" customWidth="1"/>
    <col min="464" max="464" width="7" bestFit="1" customWidth="1"/>
    <col min="465" max="465" width="8" bestFit="1" customWidth="1"/>
    <col min="466" max="466" width="5" bestFit="1" customWidth="1"/>
    <col min="467" max="470" width="8" bestFit="1" customWidth="1"/>
    <col min="471" max="471" width="5" bestFit="1" customWidth="1"/>
    <col min="472" max="473" width="8" bestFit="1" customWidth="1"/>
    <col min="474" max="474" width="5" bestFit="1" customWidth="1"/>
    <col min="475" max="475" width="8" bestFit="1" customWidth="1"/>
    <col min="476" max="477" width="5" bestFit="1" customWidth="1"/>
    <col min="478" max="480" width="8" bestFit="1" customWidth="1"/>
    <col min="481" max="481" width="5" bestFit="1" customWidth="1"/>
    <col min="482" max="483" width="8" bestFit="1" customWidth="1"/>
    <col min="484" max="486" width="5" bestFit="1" customWidth="1"/>
    <col min="487" max="487" width="8" bestFit="1" customWidth="1"/>
    <col min="488" max="490" width="5" bestFit="1" customWidth="1"/>
    <col min="491" max="491" width="8" bestFit="1" customWidth="1"/>
    <col min="492" max="492" width="5" bestFit="1" customWidth="1"/>
    <col min="493" max="493" width="6" bestFit="1" customWidth="1"/>
  </cols>
  <sheetData>
    <row r="2" spans="1:8" x14ac:dyDescent="0.3">
      <c r="G2" s="3" t="s">
        <v>2337</v>
      </c>
      <c r="H2" t="s">
        <v>2336</v>
      </c>
    </row>
    <row r="3" spans="1:8" x14ac:dyDescent="0.3">
      <c r="A3" t="s">
        <v>2333</v>
      </c>
      <c r="G3" s="4" t="s">
        <v>2225</v>
      </c>
      <c r="H3" s="11">
        <v>6310</v>
      </c>
    </row>
    <row r="4" spans="1:8" x14ac:dyDescent="0.3">
      <c r="A4" s="1">
        <v>508</v>
      </c>
      <c r="B4">
        <f>GETPIVOTDATA("Movie Title",$A$3)</f>
        <v>508</v>
      </c>
      <c r="G4" s="4" t="s">
        <v>1732</v>
      </c>
      <c r="H4" s="11">
        <v>5311</v>
      </c>
    </row>
    <row r="5" spans="1:8" x14ac:dyDescent="0.3">
      <c r="G5" s="4" t="s">
        <v>206</v>
      </c>
      <c r="H5" s="11">
        <v>3852.31</v>
      </c>
    </row>
    <row r="6" spans="1:8" x14ac:dyDescent="0.3">
      <c r="A6" t="s">
        <v>2334</v>
      </c>
      <c r="G6" s="4" t="s">
        <v>419</v>
      </c>
      <c r="H6" s="11">
        <v>3620</v>
      </c>
    </row>
    <row r="7" spans="1:8" x14ac:dyDescent="0.3">
      <c r="A7" s="1">
        <v>77207470000</v>
      </c>
      <c r="B7" s="7">
        <f>GETPIVOTDATA("Revenue",$A$6)</f>
        <v>77207470000</v>
      </c>
      <c r="G7" s="4" t="s">
        <v>1219</v>
      </c>
      <c r="H7" s="11">
        <v>2756</v>
      </c>
    </row>
    <row r="8" spans="1:8" x14ac:dyDescent="0.3">
      <c r="G8" s="4" t="s">
        <v>2315</v>
      </c>
      <c r="H8" s="11">
        <v>2580</v>
      </c>
    </row>
    <row r="9" spans="1:8" x14ac:dyDescent="0.3">
      <c r="A9" t="s">
        <v>2335</v>
      </c>
      <c r="G9" s="4" t="s">
        <v>1048</v>
      </c>
      <c r="H9" s="11">
        <v>2469.39</v>
      </c>
    </row>
    <row r="10" spans="1:8" x14ac:dyDescent="0.3">
      <c r="A10" s="1">
        <v>52380800000</v>
      </c>
      <c r="B10" s="6">
        <f>GETPIVOTDATA("Profit",$A$9)</f>
        <v>52380800000</v>
      </c>
      <c r="G10" s="4" t="s">
        <v>2254</v>
      </c>
      <c r="H10" s="11">
        <v>2356.67</v>
      </c>
    </row>
    <row r="11" spans="1:8" x14ac:dyDescent="0.3">
      <c r="G11" s="4" t="s">
        <v>2187</v>
      </c>
      <c r="H11" s="11">
        <v>2278.67</v>
      </c>
    </row>
    <row r="12" spans="1:8" x14ac:dyDescent="0.3">
      <c r="A12" t="s">
        <v>2336</v>
      </c>
      <c r="G12" s="4" t="s">
        <v>1817</v>
      </c>
      <c r="H12" s="11">
        <v>2263.08</v>
      </c>
    </row>
    <row r="13" spans="1:8" x14ac:dyDescent="0.3">
      <c r="A13" s="1">
        <v>333.87433070866177</v>
      </c>
      <c r="B13" s="5">
        <f>GETPIVOTDATA("ROI%",$A$12)</f>
        <v>333.87433070866177</v>
      </c>
    </row>
    <row r="15" spans="1:8" x14ac:dyDescent="0.3">
      <c r="A15" s="3" t="s">
        <v>2337</v>
      </c>
      <c r="B15" t="s">
        <v>2334</v>
      </c>
      <c r="G15" t="str" cm="1">
        <f t="array" ref="G15:H24">G3:H12</f>
        <v>Levan Gabriadze</v>
      </c>
      <c r="H15">
        <v>6310</v>
      </c>
    </row>
    <row r="16" spans="1:8" x14ac:dyDescent="0.3">
      <c r="A16" s="4" t="s">
        <v>2313</v>
      </c>
      <c r="B16" s="9">
        <v>747900000</v>
      </c>
      <c r="G16" t="str">
        <v>William Brent Bell</v>
      </c>
      <c r="H16">
        <v>5311</v>
      </c>
    </row>
    <row r="17" spans="1:8" x14ac:dyDescent="0.3">
      <c r="A17" s="4" t="s">
        <v>1866</v>
      </c>
      <c r="B17" s="9">
        <v>755400000</v>
      </c>
      <c r="E17" s="3" t="s">
        <v>2337</v>
      </c>
      <c r="F17" t="s">
        <v>2335</v>
      </c>
      <c r="G17" t="str">
        <v>John R. Leonetti</v>
      </c>
      <c r="H17">
        <v>3852.31</v>
      </c>
    </row>
    <row r="18" spans="1:8" x14ac:dyDescent="0.3">
      <c r="A18" s="4" t="s">
        <v>1697</v>
      </c>
      <c r="B18" s="9">
        <v>757900000</v>
      </c>
      <c r="E18" s="4" t="s">
        <v>25</v>
      </c>
      <c r="F18" s="9">
        <v>18123540000</v>
      </c>
      <c r="G18" t="str">
        <v>Bradley Parker</v>
      </c>
      <c r="H18">
        <v>3620</v>
      </c>
    </row>
    <row r="19" spans="1:8" x14ac:dyDescent="0.3">
      <c r="A19" s="4" t="s">
        <v>502</v>
      </c>
      <c r="B19" s="9">
        <v>782600000</v>
      </c>
      <c r="E19" s="4" t="s">
        <v>42</v>
      </c>
      <c r="F19" s="9">
        <v>8185800000</v>
      </c>
      <c r="G19" t="str">
        <v>Ariel Schulman</v>
      </c>
      <c r="H19">
        <v>2756</v>
      </c>
    </row>
    <row r="20" spans="1:8" x14ac:dyDescent="0.3">
      <c r="A20" s="4" t="s">
        <v>667</v>
      </c>
      <c r="B20" s="9">
        <v>788700000</v>
      </c>
      <c r="E20" s="4" t="s">
        <v>145</v>
      </c>
      <c r="F20" s="9">
        <v>5325300000</v>
      </c>
      <c r="G20" t="str">
        <v>Adam Wingard</v>
      </c>
      <c r="H20">
        <v>2580</v>
      </c>
    </row>
    <row r="21" spans="1:8" x14ac:dyDescent="0.3">
      <c r="A21" s="4" t="s">
        <v>2113</v>
      </c>
      <c r="B21" s="9">
        <v>829700000</v>
      </c>
      <c r="E21" s="4" t="s">
        <v>74</v>
      </c>
      <c r="F21" s="9">
        <v>4824190000</v>
      </c>
      <c r="G21" t="str">
        <v>David F. Sandberg</v>
      </c>
      <c r="H21">
        <v>2469.39</v>
      </c>
    </row>
    <row r="22" spans="1:8" x14ac:dyDescent="0.3">
      <c r="A22" s="4" t="s">
        <v>249</v>
      </c>
      <c r="B22" s="9">
        <v>872700000</v>
      </c>
      <c r="E22" s="4" t="s">
        <v>132</v>
      </c>
      <c r="F22" s="9">
        <v>4741900000</v>
      </c>
      <c r="G22" t="str">
        <v>Alex Kendrick</v>
      </c>
      <c r="H22">
        <v>2356.67</v>
      </c>
    </row>
    <row r="23" spans="1:8" x14ac:dyDescent="0.3">
      <c r="A23" s="4" t="s">
        <v>877</v>
      </c>
      <c r="B23" s="9">
        <v>877000000</v>
      </c>
      <c r="G23" t="str">
        <v>Tony Scott</v>
      </c>
      <c r="H23">
        <v>2278.67</v>
      </c>
    </row>
    <row r="24" spans="1:8" x14ac:dyDescent="0.3">
      <c r="A24" s="4" t="s">
        <v>1853</v>
      </c>
      <c r="B24" s="9">
        <v>956000000</v>
      </c>
      <c r="G24" t="str">
        <v>Josh Boone</v>
      </c>
      <c r="H24">
        <v>2263.08</v>
      </c>
    </row>
    <row r="25" spans="1:8" x14ac:dyDescent="0.3">
      <c r="A25" s="4" t="s">
        <v>519</v>
      </c>
      <c r="B25" s="9">
        <v>970800000</v>
      </c>
    </row>
    <row r="28" spans="1:8" x14ac:dyDescent="0.3">
      <c r="A28" s="3" t="s">
        <v>2337</v>
      </c>
      <c r="B28" t="s">
        <v>2334</v>
      </c>
    </row>
    <row r="29" spans="1:8" x14ac:dyDescent="0.3">
      <c r="A29" s="4" t="s">
        <v>25</v>
      </c>
      <c r="B29" s="8">
        <v>28060740000</v>
      </c>
    </row>
    <row r="30" spans="1:8" x14ac:dyDescent="0.3">
      <c r="A30" s="4" t="s">
        <v>42</v>
      </c>
      <c r="B30" s="8">
        <v>12097400000</v>
      </c>
    </row>
    <row r="31" spans="1:8" x14ac:dyDescent="0.3">
      <c r="A31" s="4" t="s">
        <v>74</v>
      </c>
      <c r="B31" s="8">
        <v>7208140000</v>
      </c>
    </row>
    <row r="32" spans="1:8" x14ac:dyDescent="0.3">
      <c r="A32" s="4" t="s">
        <v>145</v>
      </c>
      <c r="B32" s="8">
        <v>7152420000</v>
      </c>
    </row>
    <row r="33" spans="1:2" x14ac:dyDescent="0.3">
      <c r="A33" s="4" t="s">
        <v>132</v>
      </c>
      <c r="B33" s="8">
        <v>6481300000</v>
      </c>
    </row>
    <row r="34" spans="1:2" x14ac:dyDescent="0.3">
      <c r="A34" s="4" t="s">
        <v>138</v>
      </c>
      <c r="B34" s="8">
        <v>3252800000</v>
      </c>
    </row>
    <row r="35" spans="1:2" x14ac:dyDescent="0.3">
      <c r="A35" s="4" t="s">
        <v>445</v>
      </c>
      <c r="B35" s="8">
        <v>3251500000</v>
      </c>
    </row>
    <row r="36" spans="1:2" x14ac:dyDescent="0.3">
      <c r="A36" s="4" t="s">
        <v>279</v>
      </c>
      <c r="B36" s="8">
        <v>2446100000</v>
      </c>
    </row>
    <row r="37" spans="1:2" x14ac:dyDescent="0.3">
      <c r="A37" s="4" t="s">
        <v>17</v>
      </c>
      <c r="B37" s="8">
        <v>2191000000</v>
      </c>
    </row>
    <row r="38" spans="1:2" x14ac:dyDescent="0.3">
      <c r="A38" s="4" t="s">
        <v>125</v>
      </c>
      <c r="B38" s="8">
        <v>1326400000</v>
      </c>
    </row>
    <row r="39" spans="1:2" x14ac:dyDescent="0.3">
      <c r="A39" s="4" t="s">
        <v>59</v>
      </c>
      <c r="B39" s="9">
        <v>882100000</v>
      </c>
    </row>
    <row r="40" spans="1:2" x14ac:dyDescent="0.3">
      <c r="A40" s="4" t="s">
        <v>835</v>
      </c>
      <c r="B40" s="9">
        <v>828600000</v>
      </c>
    </row>
    <row r="41" spans="1:2" x14ac:dyDescent="0.3">
      <c r="A41" s="4" t="s">
        <v>166</v>
      </c>
      <c r="B41" s="9">
        <v>698170000</v>
      </c>
    </row>
    <row r="42" spans="1:2" x14ac:dyDescent="0.3">
      <c r="A42" s="4" t="s">
        <v>262</v>
      </c>
      <c r="B42" s="9">
        <v>520000000</v>
      </c>
    </row>
    <row r="43" spans="1:2" x14ac:dyDescent="0.3">
      <c r="A43" s="4" t="s">
        <v>286</v>
      </c>
      <c r="B43" s="9">
        <v>483900000</v>
      </c>
    </row>
    <row r="44" spans="1:2" x14ac:dyDescent="0.3">
      <c r="A44" s="4" t="s">
        <v>751</v>
      </c>
      <c r="B44" s="9">
        <v>258400000</v>
      </c>
    </row>
    <row r="45" spans="1:2" x14ac:dyDescent="0.3">
      <c r="A45" s="4" t="s">
        <v>1274</v>
      </c>
      <c r="B45" s="9">
        <v>68500000</v>
      </c>
    </row>
    <row r="48" spans="1:2" x14ac:dyDescent="0.3">
      <c r="A48" s="3" t="s">
        <v>2337</v>
      </c>
      <c r="B48" t="s">
        <v>2333</v>
      </c>
    </row>
    <row r="49" spans="1:6" x14ac:dyDescent="0.3">
      <c r="A49" s="4">
        <v>2012</v>
      </c>
      <c r="B49" s="10">
        <v>106</v>
      </c>
    </row>
    <row r="50" spans="1:6" x14ac:dyDescent="0.3">
      <c r="A50" s="4">
        <v>2013</v>
      </c>
      <c r="B50" s="10">
        <v>85</v>
      </c>
    </row>
    <row r="51" spans="1:6" x14ac:dyDescent="0.3">
      <c r="A51" s="4">
        <v>2014</v>
      </c>
      <c r="B51" s="10">
        <v>119</v>
      </c>
    </row>
    <row r="52" spans="1:6" x14ac:dyDescent="0.3">
      <c r="A52" s="4">
        <v>2015</v>
      </c>
      <c r="B52" s="10">
        <v>124</v>
      </c>
    </row>
    <row r="53" spans="1:6" x14ac:dyDescent="0.3">
      <c r="A53" s="4">
        <v>2016</v>
      </c>
      <c r="B53" s="10">
        <v>74</v>
      </c>
    </row>
    <row r="56" spans="1:6" x14ac:dyDescent="0.3">
      <c r="A56" s="3" t="s">
        <v>2338</v>
      </c>
      <c r="B56" t="s">
        <v>2335</v>
      </c>
    </row>
    <row r="57" spans="1:6" x14ac:dyDescent="0.3">
      <c r="A57" s="4">
        <v>1000000</v>
      </c>
      <c r="B57" s="10">
        <v>226500000</v>
      </c>
      <c r="E57" cm="1">
        <f t="array" ref="E57:E203">A57:A203</f>
        <v>1000000</v>
      </c>
      <c r="F57" s="10" cm="1">
        <f t="array" ref="F57:F203">B57:B203</f>
        <v>226500000</v>
      </c>
    </row>
    <row r="58" spans="1:6" x14ac:dyDescent="0.3">
      <c r="A58" s="4">
        <v>1100000</v>
      </c>
      <c r="B58" s="10">
        <v>8040000</v>
      </c>
      <c r="E58">
        <v>1100000</v>
      </c>
      <c r="F58">
        <v>8040000</v>
      </c>
    </row>
    <row r="59" spans="1:6" x14ac:dyDescent="0.3">
      <c r="A59" s="4">
        <v>1300000</v>
      </c>
      <c r="B59" s="10">
        <v>3600000</v>
      </c>
      <c r="E59">
        <v>1300000</v>
      </c>
      <c r="F59">
        <v>3600000</v>
      </c>
    </row>
    <row r="60" spans="1:6" x14ac:dyDescent="0.3">
      <c r="A60" s="4">
        <v>1400000</v>
      </c>
      <c r="B60" s="10">
        <v>1400000</v>
      </c>
      <c r="E60">
        <v>1400000</v>
      </c>
      <c r="F60">
        <v>1400000</v>
      </c>
    </row>
    <row r="61" spans="1:6" x14ac:dyDescent="0.3">
      <c r="A61" s="4">
        <v>1500000</v>
      </c>
      <c r="B61" s="10">
        <v>9700000</v>
      </c>
      <c r="E61">
        <v>1500000</v>
      </c>
      <c r="F61">
        <v>9700000</v>
      </c>
    </row>
    <row r="62" spans="1:6" x14ac:dyDescent="0.3">
      <c r="A62" s="4">
        <v>1750000</v>
      </c>
      <c r="B62" s="10">
        <v>-10000</v>
      </c>
      <c r="E62">
        <v>1750000</v>
      </c>
      <c r="F62">
        <v>-10000</v>
      </c>
    </row>
    <row r="63" spans="1:6" x14ac:dyDescent="0.3">
      <c r="A63" s="4">
        <v>1800000</v>
      </c>
      <c r="B63" s="10">
        <v>20100000</v>
      </c>
      <c r="E63">
        <v>1800000</v>
      </c>
      <c r="F63">
        <v>20100000</v>
      </c>
    </row>
    <row r="64" spans="1:6" x14ac:dyDescent="0.3">
      <c r="A64" s="4">
        <v>2000000</v>
      </c>
      <c r="B64" s="10">
        <v>73900000</v>
      </c>
      <c r="E64">
        <v>2000000</v>
      </c>
      <c r="F64">
        <v>73900000</v>
      </c>
    </row>
    <row r="65" spans="1:6" x14ac:dyDescent="0.3">
      <c r="A65" s="4">
        <v>2400000</v>
      </c>
      <c r="B65" s="10">
        <v>14100000</v>
      </c>
      <c r="E65">
        <v>2400000</v>
      </c>
      <c r="F65">
        <v>14100000</v>
      </c>
    </row>
    <row r="66" spans="1:6" x14ac:dyDescent="0.3">
      <c r="A66" s="4">
        <v>2500000</v>
      </c>
      <c r="B66" s="10">
        <v>64400000</v>
      </c>
      <c r="E66">
        <v>2500000</v>
      </c>
      <c r="F66">
        <v>64400000</v>
      </c>
    </row>
    <row r="67" spans="1:6" x14ac:dyDescent="0.3">
      <c r="A67" s="4">
        <v>2900000</v>
      </c>
      <c r="B67" s="10">
        <v>-1900000</v>
      </c>
      <c r="E67">
        <v>2900000</v>
      </c>
      <c r="F67">
        <v>-1900000</v>
      </c>
    </row>
    <row r="68" spans="1:6" x14ac:dyDescent="0.3">
      <c r="A68" s="4">
        <v>3000000</v>
      </c>
      <c r="B68" s="10">
        <v>276300000</v>
      </c>
      <c r="E68">
        <v>3000000</v>
      </c>
      <c r="F68">
        <v>276300000</v>
      </c>
    </row>
    <row r="69" spans="1:6" x14ac:dyDescent="0.3">
      <c r="A69" s="4">
        <v>3300000</v>
      </c>
      <c r="B69" s="10">
        <v>80800000</v>
      </c>
      <c r="E69">
        <v>3300000</v>
      </c>
      <c r="F69">
        <v>80800000</v>
      </c>
    </row>
    <row r="70" spans="1:6" x14ac:dyDescent="0.3">
      <c r="A70" s="4">
        <v>3400000</v>
      </c>
      <c r="B70" s="10">
        <v>18600000</v>
      </c>
      <c r="E70">
        <v>3400000</v>
      </c>
      <c r="F70">
        <v>18600000</v>
      </c>
    </row>
    <row r="71" spans="1:6" x14ac:dyDescent="0.3">
      <c r="A71" s="4">
        <v>3500000</v>
      </c>
      <c r="B71" s="10">
        <v>23800000</v>
      </c>
      <c r="E71">
        <v>3500000</v>
      </c>
      <c r="F71">
        <v>23800000</v>
      </c>
    </row>
    <row r="72" spans="1:6" x14ac:dyDescent="0.3">
      <c r="A72" s="4">
        <v>3800000</v>
      </c>
      <c r="B72" s="10">
        <v>-500000</v>
      </c>
      <c r="E72">
        <v>3800000</v>
      </c>
      <c r="F72">
        <v>-500000</v>
      </c>
    </row>
    <row r="73" spans="1:6" x14ac:dyDescent="0.3">
      <c r="A73" s="4">
        <v>4000000</v>
      </c>
      <c r="B73" s="10">
        <v>65020000</v>
      </c>
      <c r="E73">
        <v>4000000</v>
      </c>
      <c r="F73">
        <v>65020000</v>
      </c>
    </row>
    <row r="74" spans="1:6" x14ac:dyDescent="0.3">
      <c r="A74" s="4">
        <v>4500000</v>
      </c>
      <c r="B74" s="10">
        <v>2100000</v>
      </c>
      <c r="E74">
        <v>4500000</v>
      </c>
      <c r="F74">
        <v>2100000</v>
      </c>
    </row>
    <row r="75" spans="1:6" x14ac:dyDescent="0.3">
      <c r="A75" s="4">
        <v>4900000</v>
      </c>
      <c r="B75" s="10">
        <v>121000000</v>
      </c>
      <c r="E75">
        <v>4900000</v>
      </c>
      <c r="F75">
        <v>121000000</v>
      </c>
    </row>
    <row r="76" spans="1:6" x14ac:dyDescent="0.3">
      <c r="A76" s="4">
        <v>5000000</v>
      </c>
      <c r="B76" s="10">
        <v>640500000</v>
      </c>
      <c r="E76">
        <v>5000000</v>
      </c>
      <c r="F76">
        <v>640500000</v>
      </c>
    </row>
    <row r="77" spans="1:6" x14ac:dyDescent="0.3">
      <c r="A77" s="4">
        <v>6000000</v>
      </c>
      <c r="B77" s="10">
        <v>32400000</v>
      </c>
      <c r="E77">
        <v>6000000</v>
      </c>
      <c r="F77">
        <v>32400000</v>
      </c>
    </row>
    <row r="78" spans="1:6" x14ac:dyDescent="0.3">
      <c r="A78" s="4">
        <v>6500000</v>
      </c>
      <c r="B78" s="10">
        <v>246300000</v>
      </c>
      <c r="E78">
        <v>6500000</v>
      </c>
      <c r="F78">
        <v>246300000</v>
      </c>
    </row>
    <row r="79" spans="1:6" x14ac:dyDescent="0.3">
      <c r="A79" s="4">
        <v>7000000</v>
      </c>
      <c r="B79" s="10">
        <v>78600000</v>
      </c>
      <c r="E79">
        <v>7000000</v>
      </c>
      <c r="F79">
        <v>78600000</v>
      </c>
    </row>
    <row r="80" spans="1:6" x14ac:dyDescent="0.3">
      <c r="A80" s="4">
        <v>7500000</v>
      </c>
      <c r="B80" s="10">
        <v>600000</v>
      </c>
      <c r="E80">
        <v>7500000</v>
      </c>
      <c r="F80">
        <v>600000</v>
      </c>
    </row>
    <row r="81" spans="1:6" x14ac:dyDescent="0.3">
      <c r="A81" s="4">
        <v>8000000</v>
      </c>
      <c r="B81" s="10">
        <v>98300000</v>
      </c>
      <c r="E81">
        <v>8000000</v>
      </c>
      <c r="F81">
        <v>98300000</v>
      </c>
    </row>
    <row r="82" spans="1:6" x14ac:dyDescent="0.3">
      <c r="A82" s="4">
        <v>8100000</v>
      </c>
      <c r="B82" s="10">
        <v>-5200000</v>
      </c>
      <c r="E82">
        <v>8100000</v>
      </c>
      <c r="F82">
        <v>-5200000</v>
      </c>
    </row>
    <row r="83" spans="1:6" x14ac:dyDescent="0.3">
      <c r="A83" s="4">
        <v>8500000</v>
      </c>
      <c r="B83" s="10">
        <v>76800000</v>
      </c>
      <c r="E83">
        <v>8500000</v>
      </c>
      <c r="F83">
        <v>76800000</v>
      </c>
    </row>
    <row r="84" spans="1:6" x14ac:dyDescent="0.3">
      <c r="A84" s="4">
        <v>9600000</v>
      </c>
      <c r="B84" s="10">
        <v>-4200000</v>
      </c>
      <c r="E84">
        <v>9600000</v>
      </c>
      <c r="F84">
        <v>-4200000</v>
      </c>
    </row>
    <row r="85" spans="1:6" x14ac:dyDescent="0.3">
      <c r="A85" s="4">
        <v>9900000</v>
      </c>
      <c r="B85" s="10">
        <v>18400000</v>
      </c>
      <c r="E85">
        <v>9900000</v>
      </c>
      <c r="F85">
        <v>18400000</v>
      </c>
    </row>
    <row r="86" spans="1:6" x14ac:dyDescent="0.3">
      <c r="A86" s="4">
        <v>10000000</v>
      </c>
      <c r="B86" s="10">
        <v>575300000</v>
      </c>
      <c r="E86">
        <v>10000000</v>
      </c>
      <c r="F86">
        <v>575300000</v>
      </c>
    </row>
    <row r="87" spans="1:6" x14ac:dyDescent="0.3">
      <c r="A87" s="4">
        <v>11000000</v>
      </c>
      <c r="B87" s="10">
        <v>323000000</v>
      </c>
      <c r="E87">
        <v>11000000</v>
      </c>
      <c r="F87">
        <v>323000000</v>
      </c>
    </row>
    <row r="88" spans="1:6" x14ac:dyDescent="0.3">
      <c r="A88" s="4">
        <v>11800000</v>
      </c>
      <c r="B88" s="10">
        <v>28500000</v>
      </c>
      <c r="E88">
        <v>11800000</v>
      </c>
      <c r="F88">
        <v>28500000</v>
      </c>
    </row>
    <row r="89" spans="1:6" x14ac:dyDescent="0.3">
      <c r="A89" s="4">
        <v>12000000</v>
      </c>
      <c r="B89" s="10">
        <v>511400000</v>
      </c>
      <c r="E89">
        <v>12000000</v>
      </c>
      <c r="F89">
        <v>511400000</v>
      </c>
    </row>
    <row r="90" spans="1:6" x14ac:dyDescent="0.3">
      <c r="A90" s="4">
        <v>12600000</v>
      </c>
      <c r="B90" s="10">
        <v>6100000</v>
      </c>
      <c r="E90">
        <v>12600000</v>
      </c>
      <c r="F90">
        <v>6100000</v>
      </c>
    </row>
    <row r="91" spans="1:6" x14ac:dyDescent="0.3">
      <c r="A91" s="4">
        <v>13000000</v>
      </c>
      <c r="B91" s="10">
        <v>539200000</v>
      </c>
      <c r="E91">
        <v>13000000</v>
      </c>
      <c r="F91">
        <v>539200000</v>
      </c>
    </row>
    <row r="92" spans="1:6" x14ac:dyDescent="0.3">
      <c r="A92" s="4">
        <v>13200000</v>
      </c>
      <c r="B92" s="10">
        <v>41100000</v>
      </c>
      <c r="E92">
        <v>13200000</v>
      </c>
      <c r="F92">
        <v>41100000</v>
      </c>
    </row>
    <row r="93" spans="1:6" x14ac:dyDescent="0.3">
      <c r="A93" s="4">
        <v>14000000</v>
      </c>
      <c r="B93" s="10">
        <v>321100000</v>
      </c>
      <c r="E93">
        <v>14000000</v>
      </c>
      <c r="F93">
        <v>321100000</v>
      </c>
    </row>
    <row r="94" spans="1:6" x14ac:dyDescent="0.3">
      <c r="A94" s="4">
        <v>14400000</v>
      </c>
      <c r="B94" s="10">
        <v>20200000</v>
      </c>
      <c r="E94">
        <v>14400000</v>
      </c>
      <c r="F94">
        <v>20200000</v>
      </c>
    </row>
    <row r="95" spans="1:6" x14ac:dyDescent="0.3">
      <c r="A95" s="4">
        <v>15000000</v>
      </c>
      <c r="B95" s="10">
        <v>1149900000</v>
      </c>
      <c r="E95">
        <v>15000000</v>
      </c>
      <c r="F95">
        <v>1149900000</v>
      </c>
    </row>
    <row r="96" spans="1:6" x14ac:dyDescent="0.3">
      <c r="A96" s="4">
        <v>16000000</v>
      </c>
      <c r="B96" s="10">
        <v>47100000</v>
      </c>
      <c r="E96">
        <v>16000000</v>
      </c>
      <c r="F96">
        <v>47100000</v>
      </c>
    </row>
    <row r="97" spans="1:6" x14ac:dyDescent="0.3">
      <c r="A97" s="4">
        <v>16800000</v>
      </c>
      <c r="B97" s="10">
        <v>34200000</v>
      </c>
      <c r="E97">
        <v>16800000</v>
      </c>
      <c r="F97">
        <v>34200000</v>
      </c>
    </row>
    <row r="98" spans="1:6" x14ac:dyDescent="0.3">
      <c r="A98" s="4">
        <v>17000000</v>
      </c>
      <c r="B98" s="10">
        <v>376300000</v>
      </c>
      <c r="E98">
        <v>17000000</v>
      </c>
      <c r="F98">
        <v>376300000</v>
      </c>
    </row>
    <row r="99" spans="1:6" x14ac:dyDescent="0.3">
      <c r="A99" s="4">
        <v>18000000</v>
      </c>
      <c r="B99" s="10">
        <v>822600000</v>
      </c>
      <c r="E99">
        <v>18000000</v>
      </c>
      <c r="F99">
        <v>822600000</v>
      </c>
    </row>
    <row r="100" spans="1:6" x14ac:dyDescent="0.3">
      <c r="A100" s="4">
        <v>18500000</v>
      </c>
      <c r="B100" s="10">
        <v>-11300000</v>
      </c>
      <c r="E100">
        <v>18500000</v>
      </c>
      <c r="F100">
        <v>-11300000</v>
      </c>
    </row>
    <row r="101" spans="1:6" x14ac:dyDescent="0.3">
      <c r="A101" s="4">
        <v>19000000</v>
      </c>
      <c r="B101" s="10">
        <v>-14500000</v>
      </c>
      <c r="E101">
        <v>19000000</v>
      </c>
      <c r="F101">
        <v>-14500000</v>
      </c>
    </row>
    <row r="102" spans="1:6" x14ac:dyDescent="0.3">
      <c r="A102" s="4">
        <v>19500000</v>
      </c>
      <c r="B102" s="10">
        <v>12700000</v>
      </c>
      <c r="E102">
        <v>19500000</v>
      </c>
      <c r="F102">
        <v>12700000</v>
      </c>
    </row>
    <row r="103" spans="1:6" x14ac:dyDescent="0.3">
      <c r="A103" s="4">
        <v>19800000</v>
      </c>
      <c r="B103" s="10">
        <v>21500000</v>
      </c>
      <c r="E103">
        <v>19800000</v>
      </c>
      <c r="F103">
        <v>21500000</v>
      </c>
    </row>
    <row r="104" spans="1:6" x14ac:dyDescent="0.3">
      <c r="A104" s="4">
        <v>20000000</v>
      </c>
      <c r="B104" s="10">
        <v>1032000000</v>
      </c>
      <c r="E104">
        <v>20000000</v>
      </c>
      <c r="F104">
        <v>1032000000</v>
      </c>
    </row>
    <row r="105" spans="1:6" x14ac:dyDescent="0.3">
      <c r="A105" s="4">
        <v>21000000</v>
      </c>
      <c r="B105" s="10">
        <v>215400000</v>
      </c>
      <c r="E105">
        <v>21000000</v>
      </c>
      <c r="F105">
        <v>215400000</v>
      </c>
    </row>
    <row r="106" spans="1:6" x14ac:dyDescent="0.3">
      <c r="A106" s="4">
        <v>22000000</v>
      </c>
      <c r="B106" s="10">
        <v>160900000</v>
      </c>
      <c r="E106">
        <v>22000000</v>
      </c>
      <c r="F106">
        <v>160900000</v>
      </c>
    </row>
    <row r="107" spans="1:6" x14ac:dyDescent="0.3">
      <c r="A107" s="4">
        <v>22500000</v>
      </c>
      <c r="B107" s="10">
        <v>8300000</v>
      </c>
      <c r="E107">
        <v>22500000</v>
      </c>
      <c r="F107">
        <v>8300000</v>
      </c>
    </row>
    <row r="108" spans="1:6" x14ac:dyDescent="0.3">
      <c r="A108" s="4">
        <v>22700000</v>
      </c>
      <c r="B108" s="10">
        <v>-15600000</v>
      </c>
      <c r="E108">
        <v>22700000</v>
      </c>
      <c r="F108">
        <v>-15600000</v>
      </c>
    </row>
    <row r="109" spans="1:6" x14ac:dyDescent="0.3">
      <c r="A109" s="4">
        <v>23000000</v>
      </c>
      <c r="B109" s="10">
        <v>400400000</v>
      </c>
      <c r="E109">
        <v>23000000</v>
      </c>
      <c r="F109">
        <v>400400000</v>
      </c>
    </row>
    <row r="110" spans="1:6" x14ac:dyDescent="0.3">
      <c r="A110" s="4">
        <v>24000000</v>
      </c>
      <c r="B110" s="10">
        <v>17100000</v>
      </c>
      <c r="E110">
        <v>24000000</v>
      </c>
      <c r="F110">
        <v>17100000</v>
      </c>
    </row>
    <row r="111" spans="1:6" x14ac:dyDescent="0.3">
      <c r="A111" s="4">
        <v>25000000</v>
      </c>
      <c r="B111" s="10">
        <v>591000000</v>
      </c>
      <c r="E111">
        <v>25000000</v>
      </c>
      <c r="F111">
        <v>591000000</v>
      </c>
    </row>
    <row r="112" spans="1:6" x14ac:dyDescent="0.3">
      <c r="A112" s="4">
        <v>26000000</v>
      </c>
      <c r="B112" s="10">
        <v>67300000</v>
      </c>
      <c r="E112">
        <v>26000000</v>
      </c>
      <c r="F112">
        <v>67300000</v>
      </c>
    </row>
    <row r="113" spans="1:6" x14ac:dyDescent="0.3">
      <c r="A113" s="4">
        <v>27000000</v>
      </c>
      <c r="B113" s="10">
        <v>66100000</v>
      </c>
      <c r="E113">
        <v>27000000</v>
      </c>
      <c r="F113">
        <v>66100000</v>
      </c>
    </row>
    <row r="114" spans="1:6" x14ac:dyDescent="0.3">
      <c r="A114" s="4">
        <v>28000000</v>
      </c>
      <c r="B114" s="10">
        <v>104200000</v>
      </c>
      <c r="E114">
        <v>28000000</v>
      </c>
      <c r="F114">
        <v>104200000</v>
      </c>
    </row>
    <row r="115" spans="1:6" x14ac:dyDescent="0.3">
      <c r="A115" s="4">
        <v>29000000</v>
      </c>
      <c r="B115" s="10">
        <v>307700000</v>
      </c>
      <c r="E115">
        <v>29000000</v>
      </c>
      <c r="F115">
        <v>307700000</v>
      </c>
    </row>
    <row r="116" spans="1:6" x14ac:dyDescent="0.3">
      <c r="A116" s="4">
        <v>30000000</v>
      </c>
      <c r="B116" s="10">
        <v>802370000</v>
      </c>
      <c r="E116">
        <v>30000000</v>
      </c>
      <c r="F116">
        <v>802370000</v>
      </c>
    </row>
    <row r="117" spans="1:6" x14ac:dyDescent="0.3">
      <c r="A117" s="4">
        <v>31000000</v>
      </c>
      <c r="B117" s="10">
        <v>204700000</v>
      </c>
      <c r="E117">
        <v>31000000</v>
      </c>
      <c r="F117">
        <v>204700000</v>
      </c>
    </row>
    <row r="118" spans="1:6" x14ac:dyDescent="0.3">
      <c r="A118" s="4">
        <v>31500000</v>
      </c>
      <c r="B118" s="10">
        <v>4100000</v>
      </c>
      <c r="E118">
        <v>31500000</v>
      </c>
      <c r="F118">
        <v>4100000</v>
      </c>
    </row>
    <row r="119" spans="1:6" x14ac:dyDescent="0.3">
      <c r="A119" s="4">
        <v>32000000</v>
      </c>
      <c r="B119" s="10">
        <v>90300000</v>
      </c>
      <c r="E119">
        <v>32000000</v>
      </c>
      <c r="F119">
        <v>90300000</v>
      </c>
    </row>
    <row r="120" spans="1:6" x14ac:dyDescent="0.3">
      <c r="A120" s="4">
        <v>34000000</v>
      </c>
      <c r="B120" s="10">
        <v>307700000</v>
      </c>
      <c r="E120">
        <v>34000000</v>
      </c>
      <c r="F120">
        <v>307700000</v>
      </c>
    </row>
    <row r="121" spans="1:6" x14ac:dyDescent="0.3">
      <c r="A121" s="4">
        <v>35000000</v>
      </c>
      <c r="B121" s="10">
        <v>605600000</v>
      </c>
      <c r="E121">
        <v>35000000</v>
      </c>
      <c r="F121">
        <v>605600000</v>
      </c>
    </row>
    <row r="122" spans="1:6" x14ac:dyDescent="0.3">
      <c r="A122" s="4">
        <v>36000000</v>
      </c>
      <c r="B122" s="10">
        <v>21800000</v>
      </c>
      <c r="E122">
        <v>36000000</v>
      </c>
      <c r="F122">
        <v>21800000</v>
      </c>
    </row>
    <row r="123" spans="1:6" x14ac:dyDescent="0.3">
      <c r="A123" s="4">
        <v>38000000</v>
      </c>
      <c r="B123" s="10">
        <v>52200000</v>
      </c>
      <c r="E123">
        <v>38000000</v>
      </c>
      <c r="F123">
        <v>52200000</v>
      </c>
    </row>
    <row r="124" spans="1:6" x14ac:dyDescent="0.3">
      <c r="A124" s="4">
        <v>39000000</v>
      </c>
      <c r="B124" s="10">
        <v>10300000</v>
      </c>
      <c r="E124">
        <v>39000000</v>
      </c>
      <c r="F124">
        <v>10300000</v>
      </c>
    </row>
    <row r="125" spans="1:6" x14ac:dyDescent="0.3">
      <c r="A125" s="4">
        <v>40000000</v>
      </c>
      <c r="B125" s="10">
        <v>1670700000</v>
      </c>
      <c r="E125">
        <v>40000000</v>
      </c>
      <c r="F125">
        <v>1670700000</v>
      </c>
    </row>
    <row r="126" spans="1:6" x14ac:dyDescent="0.3">
      <c r="A126" s="4">
        <v>42000000</v>
      </c>
      <c r="B126" s="10">
        <v>35300000</v>
      </c>
      <c r="E126">
        <v>42000000</v>
      </c>
      <c r="F126">
        <v>35300000</v>
      </c>
    </row>
    <row r="127" spans="1:6" x14ac:dyDescent="0.3">
      <c r="A127" s="4">
        <v>42800000</v>
      </c>
      <c r="B127" s="10">
        <v>78100000</v>
      </c>
      <c r="E127">
        <v>42800000</v>
      </c>
      <c r="F127">
        <v>78100000</v>
      </c>
    </row>
    <row r="128" spans="1:6" x14ac:dyDescent="0.3">
      <c r="A128" s="4">
        <v>43000000</v>
      </c>
      <c r="B128" s="10">
        <v>520000000</v>
      </c>
      <c r="E128">
        <v>43000000</v>
      </c>
      <c r="F128">
        <v>520000000</v>
      </c>
    </row>
    <row r="129" spans="1:6" x14ac:dyDescent="0.3">
      <c r="A129" s="4">
        <v>44000000</v>
      </c>
      <c r="B129" s="10">
        <v>229700000</v>
      </c>
      <c r="E129">
        <v>44000000</v>
      </c>
      <c r="F129">
        <v>229700000</v>
      </c>
    </row>
    <row r="130" spans="1:6" x14ac:dyDescent="0.3">
      <c r="A130" s="4">
        <v>44500000</v>
      </c>
      <c r="B130" s="10">
        <v>187800000</v>
      </c>
      <c r="E130">
        <v>44500000</v>
      </c>
      <c r="F130">
        <v>187800000</v>
      </c>
    </row>
    <row r="131" spans="1:6" x14ac:dyDescent="0.3">
      <c r="A131" s="4">
        <v>45000000</v>
      </c>
      <c r="B131" s="10">
        <v>258400000</v>
      </c>
      <c r="E131">
        <v>45000000</v>
      </c>
      <c r="F131">
        <v>258400000</v>
      </c>
    </row>
    <row r="132" spans="1:6" x14ac:dyDescent="0.3">
      <c r="A132" s="4">
        <v>46000000</v>
      </c>
      <c r="B132" s="10">
        <v>76100000</v>
      </c>
      <c r="E132">
        <v>46000000</v>
      </c>
      <c r="F132">
        <v>76100000</v>
      </c>
    </row>
    <row r="133" spans="1:6" x14ac:dyDescent="0.3">
      <c r="A133" s="4">
        <v>47500000</v>
      </c>
      <c r="B133" s="10">
        <v>-32300000</v>
      </c>
      <c r="E133">
        <v>47500000</v>
      </c>
      <c r="F133">
        <v>-32300000</v>
      </c>
    </row>
    <row r="134" spans="1:6" x14ac:dyDescent="0.3">
      <c r="A134" s="4">
        <v>49000000</v>
      </c>
      <c r="B134" s="10">
        <v>53100000</v>
      </c>
      <c r="E134">
        <v>49000000</v>
      </c>
      <c r="F134">
        <v>53100000</v>
      </c>
    </row>
    <row r="135" spans="1:6" x14ac:dyDescent="0.3">
      <c r="A135" s="4">
        <v>50000000</v>
      </c>
      <c r="B135" s="10">
        <v>1103800000</v>
      </c>
      <c r="E135">
        <v>50000000</v>
      </c>
      <c r="F135">
        <v>1103800000</v>
      </c>
    </row>
    <row r="136" spans="1:6" x14ac:dyDescent="0.3">
      <c r="A136" s="4">
        <v>51000000</v>
      </c>
      <c r="B136" s="10">
        <v>498400000</v>
      </c>
      <c r="E136">
        <v>51000000</v>
      </c>
      <c r="F136">
        <v>498400000</v>
      </c>
    </row>
    <row r="137" spans="1:6" x14ac:dyDescent="0.3">
      <c r="A137" s="4">
        <v>52000000</v>
      </c>
      <c r="B137" s="10">
        <v>-25700000</v>
      </c>
      <c r="E137">
        <v>52000000</v>
      </c>
      <c r="F137">
        <v>-25700000</v>
      </c>
    </row>
    <row r="138" spans="1:6" x14ac:dyDescent="0.3">
      <c r="A138" s="4">
        <v>53000000</v>
      </c>
      <c r="B138" s="10">
        <v>46800000</v>
      </c>
      <c r="E138">
        <v>53000000</v>
      </c>
      <c r="F138">
        <v>46800000</v>
      </c>
    </row>
    <row r="139" spans="1:6" x14ac:dyDescent="0.3">
      <c r="A139" s="4">
        <v>55000000</v>
      </c>
      <c r="B139" s="10">
        <v>338400000</v>
      </c>
      <c r="E139">
        <v>55000000</v>
      </c>
      <c r="F139">
        <v>338400000</v>
      </c>
    </row>
    <row r="140" spans="1:6" x14ac:dyDescent="0.3">
      <c r="A140" s="4">
        <v>56000000</v>
      </c>
      <c r="B140" s="10">
        <v>329200000</v>
      </c>
      <c r="E140">
        <v>56000000</v>
      </c>
      <c r="F140">
        <v>329200000</v>
      </c>
    </row>
    <row r="141" spans="1:6" x14ac:dyDescent="0.3">
      <c r="A141" s="4">
        <v>57000000</v>
      </c>
      <c r="B141" s="10">
        <v>119600000</v>
      </c>
      <c r="E141">
        <v>57000000</v>
      </c>
      <c r="F141">
        <v>119600000</v>
      </c>
    </row>
    <row r="142" spans="1:6" x14ac:dyDescent="0.3">
      <c r="A142" s="4">
        <v>58000000</v>
      </c>
      <c r="B142" s="10">
        <v>752000000</v>
      </c>
      <c r="E142">
        <v>58000000</v>
      </c>
      <c r="F142">
        <v>752000000</v>
      </c>
    </row>
    <row r="143" spans="1:6" x14ac:dyDescent="0.3">
      <c r="A143" s="4">
        <v>58600000</v>
      </c>
      <c r="B143" s="10">
        <v>9100000</v>
      </c>
      <c r="E143">
        <v>58600000</v>
      </c>
      <c r="F143">
        <v>9100000</v>
      </c>
    </row>
    <row r="144" spans="1:6" x14ac:dyDescent="0.3">
      <c r="A144" s="4">
        <v>58800000</v>
      </c>
      <c r="B144" s="10">
        <v>488600000</v>
      </c>
      <c r="E144">
        <v>58800000</v>
      </c>
      <c r="F144">
        <v>488600000</v>
      </c>
    </row>
    <row r="145" spans="1:6" x14ac:dyDescent="0.3">
      <c r="A145" s="4">
        <v>60000000</v>
      </c>
      <c r="B145" s="10">
        <v>861600000</v>
      </c>
      <c r="E145">
        <v>60000000</v>
      </c>
      <c r="F145">
        <v>861600000</v>
      </c>
    </row>
    <row r="146" spans="1:6" x14ac:dyDescent="0.3">
      <c r="A146" s="4">
        <v>60720000</v>
      </c>
      <c r="B146" s="10">
        <v>493080000</v>
      </c>
      <c r="E146">
        <v>60720000</v>
      </c>
      <c r="F146">
        <v>493080000</v>
      </c>
    </row>
    <row r="147" spans="1:6" x14ac:dyDescent="0.3">
      <c r="A147" s="4">
        <v>61000000</v>
      </c>
      <c r="B147" s="10">
        <v>1011300000</v>
      </c>
      <c r="E147">
        <v>61000000</v>
      </c>
      <c r="F147">
        <v>1011300000</v>
      </c>
    </row>
    <row r="148" spans="1:6" x14ac:dyDescent="0.3">
      <c r="A148" s="4">
        <v>61600000</v>
      </c>
      <c r="B148" s="10">
        <v>10100000</v>
      </c>
      <c r="E148">
        <v>61600000</v>
      </c>
      <c r="F148">
        <v>10100000</v>
      </c>
    </row>
    <row r="149" spans="1:6" x14ac:dyDescent="0.3">
      <c r="A149" s="4">
        <v>65000000</v>
      </c>
      <c r="B149" s="10">
        <v>1080100000</v>
      </c>
      <c r="E149">
        <v>65000000</v>
      </c>
      <c r="F149">
        <v>1080100000</v>
      </c>
    </row>
    <row r="150" spans="1:6" x14ac:dyDescent="0.3">
      <c r="A150" s="4">
        <v>68000000</v>
      </c>
      <c r="B150" s="10">
        <v>292800000</v>
      </c>
      <c r="E150">
        <v>68000000</v>
      </c>
      <c r="F150">
        <v>292800000</v>
      </c>
    </row>
    <row r="151" spans="1:6" x14ac:dyDescent="0.3">
      <c r="A151" s="4">
        <v>69000000</v>
      </c>
      <c r="B151" s="10">
        <v>171400000</v>
      </c>
      <c r="E151">
        <v>69000000</v>
      </c>
      <c r="F151">
        <v>171400000</v>
      </c>
    </row>
    <row r="152" spans="1:6" x14ac:dyDescent="0.3">
      <c r="A152" s="4">
        <v>70000000</v>
      </c>
      <c r="B152" s="10">
        <v>542900000</v>
      </c>
      <c r="E152">
        <v>70000000</v>
      </c>
      <c r="F152">
        <v>542900000</v>
      </c>
    </row>
    <row r="153" spans="1:6" x14ac:dyDescent="0.3">
      <c r="A153" s="4">
        <v>73000000</v>
      </c>
      <c r="B153" s="10">
        <v>273900000</v>
      </c>
      <c r="E153">
        <v>73000000</v>
      </c>
      <c r="F153">
        <v>273900000</v>
      </c>
    </row>
    <row r="154" spans="1:6" x14ac:dyDescent="0.3">
      <c r="A154" s="4">
        <v>74000000</v>
      </c>
      <c r="B154" s="10">
        <v>249400000</v>
      </c>
      <c r="E154">
        <v>74000000</v>
      </c>
      <c r="F154">
        <v>249400000</v>
      </c>
    </row>
    <row r="155" spans="1:6" x14ac:dyDescent="0.3">
      <c r="A155" s="4">
        <v>75000000</v>
      </c>
      <c r="B155" s="10">
        <v>976000000</v>
      </c>
      <c r="E155">
        <v>75000000</v>
      </c>
      <c r="F155">
        <v>976000000</v>
      </c>
    </row>
    <row r="156" spans="1:6" x14ac:dyDescent="0.3">
      <c r="A156" s="4">
        <v>76000000</v>
      </c>
      <c r="B156" s="10">
        <v>894800000</v>
      </c>
      <c r="E156">
        <v>76000000</v>
      </c>
      <c r="F156">
        <v>894800000</v>
      </c>
    </row>
    <row r="157" spans="1:6" x14ac:dyDescent="0.3">
      <c r="A157" s="4">
        <v>78000000</v>
      </c>
      <c r="B157" s="10">
        <v>812700000</v>
      </c>
      <c r="E157">
        <v>78000000</v>
      </c>
      <c r="F157">
        <v>812700000</v>
      </c>
    </row>
    <row r="158" spans="1:6" x14ac:dyDescent="0.3">
      <c r="A158" s="4">
        <v>79000000</v>
      </c>
      <c r="B158" s="10">
        <v>256300000</v>
      </c>
      <c r="E158">
        <v>79000000</v>
      </c>
      <c r="F158">
        <v>256300000</v>
      </c>
    </row>
    <row r="159" spans="1:6" x14ac:dyDescent="0.3">
      <c r="A159" s="4">
        <v>80000000</v>
      </c>
      <c r="B159" s="10">
        <v>597800000</v>
      </c>
      <c r="E159">
        <v>80000000</v>
      </c>
      <c r="F159">
        <v>597800000</v>
      </c>
    </row>
    <row r="160" spans="1:6" x14ac:dyDescent="0.3">
      <c r="A160" s="4">
        <v>84000000</v>
      </c>
      <c r="B160" s="10">
        <v>130300000</v>
      </c>
      <c r="E160">
        <v>84000000</v>
      </c>
      <c r="F160">
        <v>130300000</v>
      </c>
    </row>
    <row r="161" spans="1:6" x14ac:dyDescent="0.3">
      <c r="A161" s="4">
        <v>84500000</v>
      </c>
      <c r="B161" s="10">
        <v>246800000</v>
      </c>
      <c r="E161">
        <v>84500000</v>
      </c>
      <c r="F161">
        <v>246800000</v>
      </c>
    </row>
    <row r="162" spans="1:6" x14ac:dyDescent="0.3">
      <c r="A162" s="4">
        <v>85000000</v>
      </c>
      <c r="B162" s="10">
        <v>698400000</v>
      </c>
      <c r="E162">
        <v>85000000</v>
      </c>
      <c r="F162">
        <v>698400000</v>
      </c>
    </row>
    <row r="163" spans="1:6" x14ac:dyDescent="0.3">
      <c r="A163" s="4">
        <v>90000000</v>
      </c>
      <c r="B163" s="10">
        <v>654500000</v>
      </c>
      <c r="E163">
        <v>90000000</v>
      </c>
      <c r="F163">
        <v>654500000</v>
      </c>
    </row>
    <row r="164" spans="1:6" x14ac:dyDescent="0.3">
      <c r="A164" s="4">
        <v>92000000</v>
      </c>
      <c r="B164" s="10">
        <v>212700000</v>
      </c>
      <c r="E164">
        <v>92000000</v>
      </c>
      <c r="F164">
        <v>212700000</v>
      </c>
    </row>
    <row r="165" spans="1:6" x14ac:dyDescent="0.3">
      <c r="A165" s="4">
        <v>93000000</v>
      </c>
      <c r="B165" s="10">
        <v>175400000</v>
      </c>
      <c r="E165">
        <v>93000000</v>
      </c>
      <c r="F165">
        <v>175400000</v>
      </c>
    </row>
    <row r="166" spans="1:6" x14ac:dyDescent="0.3">
      <c r="A166" s="4">
        <v>94000000</v>
      </c>
      <c r="B166" s="10">
        <v>320400000</v>
      </c>
      <c r="E166">
        <v>94000000</v>
      </c>
      <c r="F166">
        <v>320400000</v>
      </c>
    </row>
    <row r="167" spans="1:6" x14ac:dyDescent="0.3">
      <c r="A167" s="4">
        <v>95000000</v>
      </c>
      <c r="B167" s="10">
        <v>811100000</v>
      </c>
      <c r="E167">
        <v>95000000</v>
      </c>
      <c r="F167">
        <v>811100000</v>
      </c>
    </row>
    <row r="168" spans="1:6" x14ac:dyDescent="0.3">
      <c r="A168" s="4">
        <v>99000000</v>
      </c>
      <c r="B168" s="10">
        <v>147200000</v>
      </c>
      <c r="E168">
        <v>99000000</v>
      </c>
      <c r="F168">
        <v>147200000</v>
      </c>
    </row>
    <row r="169" spans="1:6" x14ac:dyDescent="0.3">
      <c r="A169" s="4">
        <v>99500000</v>
      </c>
      <c r="B169" s="10">
        <v>16900000</v>
      </c>
      <c r="E169">
        <v>99500000</v>
      </c>
      <c r="F169">
        <v>16900000</v>
      </c>
    </row>
    <row r="170" spans="1:6" x14ac:dyDescent="0.3">
      <c r="A170" s="4">
        <v>100000000</v>
      </c>
      <c r="B170" s="10">
        <v>611800000</v>
      </c>
      <c r="E170">
        <v>100000000</v>
      </c>
      <c r="F170">
        <v>611800000</v>
      </c>
    </row>
    <row r="171" spans="1:6" x14ac:dyDescent="0.3">
      <c r="A171" s="4">
        <v>103000000</v>
      </c>
      <c r="B171" s="10">
        <v>656100000</v>
      </c>
      <c r="E171">
        <v>103000000</v>
      </c>
      <c r="F171">
        <v>656100000</v>
      </c>
    </row>
    <row r="172" spans="1:6" x14ac:dyDescent="0.3">
      <c r="A172" s="4">
        <v>105000000</v>
      </c>
      <c r="B172" s="10">
        <v>780500000</v>
      </c>
      <c r="E172">
        <v>105000000</v>
      </c>
      <c r="F172">
        <v>780500000</v>
      </c>
    </row>
    <row r="173" spans="1:6" x14ac:dyDescent="0.3">
      <c r="A173" s="4">
        <v>108000000</v>
      </c>
      <c r="B173" s="10">
        <v>522200000</v>
      </c>
      <c r="E173">
        <v>108000000</v>
      </c>
      <c r="F173">
        <v>522200000</v>
      </c>
    </row>
    <row r="174" spans="1:6" x14ac:dyDescent="0.3">
      <c r="A174" s="4">
        <v>110000000</v>
      </c>
      <c r="B174" s="10">
        <v>484100000</v>
      </c>
      <c r="E174">
        <v>110000000</v>
      </c>
      <c r="F174">
        <v>484100000</v>
      </c>
    </row>
    <row r="175" spans="1:6" x14ac:dyDescent="0.3">
      <c r="A175" s="4">
        <v>115000000</v>
      </c>
      <c r="B175" s="10">
        <v>220700000</v>
      </c>
      <c r="E175">
        <v>115000000</v>
      </c>
      <c r="F175">
        <v>220700000</v>
      </c>
    </row>
    <row r="176" spans="1:6" x14ac:dyDescent="0.3">
      <c r="A176" s="4">
        <v>120000000</v>
      </c>
      <c r="B176" s="10">
        <v>1935600000</v>
      </c>
      <c r="E176">
        <v>120000000</v>
      </c>
      <c r="F176">
        <v>1935600000</v>
      </c>
    </row>
    <row r="177" spans="1:6" x14ac:dyDescent="0.3">
      <c r="A177" s="4">
        <v>125000000</v>
      </c>
      <c r="B177" s="10">
        <v>1460900000</v>
      </c>
      <c r="E177">
        <v>125000000</v>
      </c>
      <c r="F177">
        <v>1460900000</v>
      </c>
    </row>
    <row r="178" spans="1:6" x14ac:dyDescent="0.3">
      <c r="A178" s="4">
        <v>127000000</v>
      </c>
      <c r="B178" s="10">
        <v>391800000</v>
      </c>
      <c r="E178">
        <v>127000000</v>
      </c>
      <c r="F178">
        <v>391800000</v>
      </c>
    </row>
    <row r="179" spans="1:6" x14ac:dyDescent="0.3">
      <c r="A179" s="4">
        <v>128500000</v>
      </c>
      <c r="B179" s="10">
        <v>2000000</v>
      </c>
      <c r="E179">
        <v>128500000</v>
      </c>
      <c r="F179">
        <v>2000000</v>
      </c>
    </row>
    <row r="180" spans="1:6" x14ac:dyDescent="0.3">
      <c r="A180" s="4">
        <v>129000000</v>
      </c>
      <c r="B180" s="10">
        <v>115900000</v>
      </c>
      <c r="E180">
        <v>129000000</v>
      </c>
      <c r="F180">
        <v>115900000</v>
      </c>
    </row>
    <row r="181" spans="1:6" x14ac:dyDescent="0.3">
      <c r="A181" s="4">
        <v>130000000</v>
      </c>
      <c r="B181" s="10">
        <v>970600000</v>
      </c>
      <c r="E181">
        <v>130000000</v>
      </c>
      <c r="F181">
        <v>970600000</v>
      </c>
    </row>
    <row r="182" spans="1:6" x14ac:dyDescent="0.3">
      <c r="A182" s="4">
        <v>132000000</v>
      </c>
      <c r="B182" s="10">
        <v>241000000</v>
      </c>
      <c r="E182">
        <v>132000000</v>
      </c>
      <c r="F182">
        <v>241000000</v>
      </c>
    </row>
    <row r="183" spans="1:6" x14ac:dyDescent="0.3">
      <c r="A183" s="4">
        <v>135000000</v>
      </c>
      <c r="B183" s="10">
        <v>1208700000</v>
      </c>
      <c r="E183">
        <v>135000000</v>
      </c>
      <c r="F183">
        <v>1208700000</v>
      </c>
    </row>
    <row r="184" spans="1:6" x14ac:dyDescent="0.3">
      <c r="A184" s="4">
        <v>140000000</v>
      </c>
      <c r="B184" s="10">
        <v>5700000</v>
      </c>
      <c r="E184">
        <v>140000000</v>
      </c>
      <c r="F184">
        <v>5700000</v>
      </c>
    </row>
    <row r="185" spans="1:6" x14ac:dyDescent="0.3">
      <c r="A185" s="4">
        <v>144000000</v>
      </c>
      <c r="B185" s="10">
        <v>73500000</v>
      </c>
      <c r="E185">
        <v>144000000</v>
      </c>
      <c r="F185">
        <v>73500000</v>
      </c>
    </row>
    <row r="186" spans="1:6" x14ac:dyDescent="0.3">
      <c r="A186" s="4">
        <v>145000000</v>
      </c>
      <c r="B186" s="10">
        <v>1745900000</v>
      </c>
      <c r="E186">
        <v>145000000</v>
      </c>
      <c r="F186">
        <v>1745900000</v>
      </c>
    </row>
    <row r="187" spans="1:6" x14ac:dyDescent="0.3">
      <c r="A187" s="4">
        <v>150000000</v>
      </c>
      <c r="B187" s="10">
        <v>1044900000</v>
      </c>
      <c r="E187">
        <v>150000000</v>
      </c>
      <c r="F187">
        <v>1044900000</v>
      </c>
    </row>
    <row r="188" spans="1:6" x14ac:dyDescent="0.3">
      <c r="A188" s="4">
        <v>155000000</v>
      </c>
      <c r="B188" s="10">
        <v>285600000</v>
      </c>
      <c r="E188">
        <v>155000000</v>
      </c>
      <c r="F188">
        <v>285600000</v>
      </c>
    </row>
    <row r="189" spans="1:6" x14ac:dyDescent="0.3">
      <c r="A189" s="4">
        <v>160000000</v>
      </c>
      <c r="B189" s="10">
        <v>1764600000</v>
      </c>
      <c r="E189">
        <v>160000000</v>
      </c>
      <c r="F189">
        <v>1764600000</v>
      </c>
    </row>
    <row r="190" spans="1:6" x14ac:dyDescent="0.3">
      <c r="A190" s="4">
        <v>165000000</v>
      </c>
      <c r="B190" s="10">
        <v>727400000</v>
      </c>
      <c r="E190">
        <v>165000000</v>
      </c>
      <c r="F190">
        <v>727400000</v>
      </c>
    </row>
    <row r="191" spans="1:6" x14ac:dyDescent="0.3">
      <c r="A191" s="4">
        <v>170000000</v>
      </c>
      <c r="B191" s="10">
        <v>771000000</v>
      </c>
      <c r="E191">
        <v>170000000</v>
      </c>
      <c r="F191">
        <v>771000000</v>
      </c>
    </row>
    <row r="192" spans="1:6" x14ac:dyDescent="0.3">
      <c r="A192" s="4">
        <v>175000000</v>
      </c>
      <c r="B192" s="10">
        <v>461700000</v>
      </c>
      <c r="E192">
        <v>175000000</v>
      </c>
      <c r="F192">
        <v>461700000</v>
      </c>
    </row>
    <row r="193" spans="1:6" x14ac:dyDescent="0.3">
      <c r="A193" s="4">
        <v>178000000</v>
      </c>
      <c r="B193" s="10">
        <v>559100000</v>
      </c>
      <c r="E193">
        <v>178000000</v>
      </c>
      <c r="F193">
        <v>559100000</v>
      </c>
    </row>
    <row r="194" spans="1:6" x14ac:dyDescent="0.3">
      <c r="A194" s="4">
        <v>180000000</v>
      </c>
      <c r="B194" s="10">
        <v>172700000</v>
      </c>
      <c r="E194">
        <v>180000000</v>
      </c>
      <c r="F194">
        <v>172700000</v>
      </c>
    </row>
    <row r="195" spans="1:6" x14ac:dyDescent="0.3">
      <c r="A195" s="4">
        <v>185000000</v>
      </c>
      <c r="B195" s="10">
        <v>58000000</v>
      </c>
      <c r="E195">
        <v>185000000</v>
      </c>
      <c r="F195">
        <v>58000000</v>
      </c>
    </row>
    <row r="196" spans="1:6" x14ac:dyDescent="0.3">
      <c r="A196" s="4">
        <v>190000000</v>
      </c>
      <c r="B196" s="10">
        <v>571000000</v>
      </c>
      <c r="E196">
        <v>190000000</v>
      </c>
      <c r="F196">
        <v>571000000</v>
      </c>
    </row>
    <row r="197" spans="1:6" x14ac:dyDescent="0.3">
      <c r="A197" s="4">
        <v>200000000</v>
      </c>
      <c r="B197" s="10">
        <v>547900000</v>
      </c>
      <c r="E197">
        <v>200000000</v>
      </c>
      <c r="F197">
        <v>547900000</v>
      </c>
    </row>
    <row r="198" spans="1:6" x14ac:dyDescent="0.3">
      <c r="A198" s="4">
        <v>215000000</v>
      </c>
      <c r="B198" s="10">
        <v>409000000</v>
      </c>
      <c r="E198">
        <v>215000000</v>
      </c>
      <c r="F198">
        <v>409000000</v>
      </c>
    </row>
    <row r="199" spans="1:6" x14ac:dyDescent="0.3">
      <c r="A199" s="4">
        <v>220000000</v>
      </c>
      <c r="B199" s="10">
        <v>83000000</v>
      </c>
      <c r="E199">
        <v>220000000</v>
      </c>
      <c r="F199">
        <v>83000000</v>
      </c>
    </row>
    <row r="200" spans="1:6" x14ac:dyDescent="0.3">
      <c r="A200" s="4">
        <v>225000000</v>
      </c>
      <c r="B200" s="10">
        <v>443000000</v>
      </c>
      <c r="E200">
        <v>225000000</v>
      </c>
      <c r="F200">
        <v>443000000</v>
      </c>
    </row>
    <row r="201" spans="1:6" x14ac:dyDescent="0.3">
      <c r="A201" s="4">
        <v>230000000</v>
      </c>
      <c r="B201" s="10">
        <v>527900000</v>
      </c>
      <c r="E201">
        <v>230000000</v>
      </c>
      <c r="F201">
        <v>527900000</v>
      </c>
    </row>
    <row r="202" spans="1:6" x14ac:dyDescent="0.3">
      <c r="A202" s="4">
        <v>235000000</v>
      </c>
      <c r="B202" s="10">
        <v>475600000</v>
      </c>
      <c r="E202">
        <v>235000000</v>
      </c>
      <c r="F202">
        <v>475600000</v>
      </c>
    </row>
    <row r="203" spans="1:6" x14ac:dyDescent="0.3">
      <c r="A203" s="4">
        <v>250000000</v>
      </c>
      <c r="B203" s="10">
        <v>1328700000</v>
      </c>
      <c r="E203">
        <v>250000000</v>
      </c>
      <c r="F203">
        <v>1328700000</v>
      </c>
    </row>
    <row r="207" spans="1:6" x14ac:dyDescent="0.3">
      <c r="A207" s="3" t="s">
        <v>2337</v>
      </c>
      <c r="B207" t="s">
        <v>2335</v>
      </c>
    </row>
    <row r="208" spans="1:6" x14ac:dyDescent="0.3">
      <c r="A208" s="4" t="s">
        <v>25</v>
      </c>
      <c r="B208" s="8">
        <v>18123540000</v>
      </c>
    </row>
    <row r="209" spans="1:2" x14ac:dyDescent="0.3">
      <c r="A209" s="4" t="s">
        <v>132</v>
      </c>
      <c r="B209" s="8">
        <v>4741900000</v>
      </c>
    </row>
    <row r="210" spans="1:2" x14ac:dyDescent="0.3">
      <c r="A210" s="4" t="s">
        <v>835</v>
      </c>
      <c r="B210" s="8">
        <v>559600000</v>
      </c>
    </row>
    <row r="211" spans="1:2" x14ac:dyDescent="0.3">
      <c r="A211" s="4" t="s">
        <v>59</v>
      </c>
      <c r="B211" s="8">
        <v>450700000</v>
      </c>
    </row>
    <row r="212" spans="1:2" x14ac:dyDescent="0.3">
      <c r="A212" s="4" t="s">
        <v>42</v>
      </c>
      <c r="B212" s="8">
        <v>8185800000</v>
      </c>
    </row>
    <row r="213" spans="1:2" x14ac:dyDescent="0.3">
      <c r="A213" s="4" t="s">
        <v>125</v>
      </c>
      <c r="B213" s="8">
        <v>626200000</v>
      </c>
    </row>
    <row r="214" spans="1:2" x14ac:dyDescent="0.3">
      <c r="A214" s="4" t="s">
        <v>1274</v>
      </c>
      <c r="B214" s="8">
        <v>58500000</v>
      </c>
    </row>
    <row r="215" spans="1:2" x14ac:dyDescent="0.3">
      <c r="A215" s="4" t="s">
        <v>74</v>
      </c>
      <c r="B215" s="8">
        <v>4824190000</v>
      </c>
    </row>
    <row r="216" spans="1:2" x14ac:dyDescent="0.3">
      <c r="A216" s="4" t="s">
        <v>445</v>
      </c>
      <c r="B216" s="8">
        <v>2309700000</v>
      </c>
    </row>
    <row r="217" spans="1:2" x14ac:dyDescent="0.3">
      <c r="A217" s="4" t="s">
        <v>279</v>
      </c>
      <c r="B217" s="8">
        <v>1536100000</v>
      </c>
    </row>
    <row r="218" spans="1:2" x14ac:dyDescent="0.3">
      <c r="A218" s="4" t="s">
        <v>138</v>
      </c>
      <c r="B218" s="8">
        <v>2621200000</v>
      </c>
    </row>
    <row r="219" spans="1:2" x14ac:dyDescent="0.3">
      <c r="A219" s="4" t="s">
        <v>262</v>
      </c>
      <c r="B219" s="8">
        <v>359000000</v>
      </c>
    </row>
    <row r="220" spans="1:2" x14ac:dyDescent="0.3">
      <c r="A220" s="4" t="s">
        <v>286</v>
      </c>
      <c r="B220" s="8">
        <v>370900000</v>
      </c>
    </row>
    <row r="221" spans="1:2" x14ac:dyDescent="0.3">
      <c r="A221" s="4" t="s">
        <v>751</v>
      </c>
      <c r="B221" s="8">
        <v>187400000</v>
      </c>
    </row>
    <row r="222" spans="1:2" x14ac:dyDescent="0.3">
      <c r="A222" s="4" t="s">
        <v>166</v>
      </c>
      <c r="B222" s="8">
        <v>441670000</v>
      </c>
    </row>
    <row r="223" spans="1:2" x14ac:dyDescent="0.3">
      <c r="A223" s="4" t="s">
        <v>145</v>
      </c>
      <c r="B223" s="8">
        <v>5325300000</v>
      </c>
    </row>
    <row r="224" spans="1:2" x14ac:dyDescent="0.3">
      <c r="A224" s="4" t="s">
        <v>17</v>
      </c>
      <c r="B224" s="8">
        <v>1659100000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60211-6E21-4DCA-8F94-60C591EB0D58}">
  <dimension ref="A1"/>
  <sheetViews>
    <sheetView showGridLines="0" showRowColHeaders="0" tabSelected="1" workbookViewId="0">
      <selection activeCell="E7" sqref="E7"/>
    </sheetView>
  </sheetViews>
  <sheetFormatPr defaultRowHeight="14.4" x14ac:dyDescent="0.3"/>
  <sheetData/>
  <sheetProtection algorithmName="SHA-512" hashValue="TN+EOuJ4FJJn2H3kvHeqReCSm/DiDvIMubHXSxBFJm4qcjxymDq10kWazkAI6M7EXNTbBjWGLnAh7R8f+4QGBw==" saltValue="iUjjaWgdQpZ29llutANR+g==" spinCount="100000" sheet="1" objects="1" scenarios="1"/>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8AFA912-85CA-4E6A-9202-7626DFFC368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Movie-Data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Raviraj Chandel</dc:creator>
  <cp:lastModifiedBy>Raviraj Chandel</cp:lastModifiedBy>
  <dcterms:created xsi:type="dcterms:W3CDTF">2026-06-16T04:41:05Z</dcterms:created>
  <dcterms:modified xsi:type="dcterms:W3CDTF">2026-06-16T08:32:25Z</dcterms:modified>
</cp:coreProperties>
</file>